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" sheetId="1" state="visible" r:id="rId3"/>
    <sheet name="점수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<sst xmlns="http://schemas.openxmlformats.org/spreadsheetml/2006/main" count="639" uniqueCount="136">
  <si>
    <r>
      <rPr>
        <b val="true"/>
        <sz val="13"/>
        <rFont val="Noto Sans CJK SC"/>
        <family val="2"/>
      </rPr>
      <t xml:space="preserve">고양이 오메가</t>
    </r>
    <r>
      <rPr>
        <b val="true"/>
        <sz val="13"/>
        <rFont val="Arial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제품 채점 기준 </t>
    </r>
    <r>
      <rPr>
        <b val="true"/>
        <sz val="13"/>
        <rFont val="Arial"/>
        <family val="0"/>
        <charset val="1"/>
      </rPr>
      <t xml:space="preserve">(v1 · </t>
    </r>
    <r>
      <rPr>
        <b val="true"/>
        <sz val="13"/>
        <rFont val="Noto Sans CJK SC"/>
        <family val="2"/>
      </rPr>
      <t xml:space="preserve">공개정보 기반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실측 전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</si>
  <si>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11"/>
        <rFont val="Noto Sans CJK SC"/>
        <family val="2"/>
      </rPr>
      <t xml:space="preserve">가중치</t>
    </r>
    <r>
      <rPr>
        <i val="true"/>
        <sz val="11"/>
        <rFont val="Arial"/>
        <family val="0"/>
        <charset val="1"/>
      </rPr>
      <t xml:space="preserve">: </t>
    </r>
    <r>
      <rPr>
        <i val="true"/>
        <sz val="11"/>
        <rFont val="Noto Sans CJK SC"/>
        <family val="2"/>
      </rPr>
      <t xml:space="preserve">성분 </t>
    </r>
    <r>
      <rPr>
        <i val="true"/>
        <sz val="11"/>
        <rFont val="Arial"/>
        <family val="0"/>
        <charset val="1"/>
      </rPr>
      <t xml:space="preserve">35 / </t>
    </r>
    <r>
      <rPr>
        <i val="true"/>
        <sz val="11"/>
        <rFont val="Noto Sans CJK SC"/>
        <family val="2"/>
      </rPr>
      <t xml:space="preserve">산패 </t>
    </r>
    <r>
      <rPr>
        <i val="true"/>
        <sz val="11"/>
        <rFont val="Arial"/>
        <family val="0"/>
        <charset val="1"/>
      </rPr>
      <t xml:space="preserve">30 / </t>
    </r>
    <r>
      <rPr>
        <i val="true"/>
        <sz val="11"/>
        <rFont val="Noto Sans CJK SC"/>
        <family val="2"/>
      </rPr>
      <t xml:space="preserve">원료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형태 </t>
    </r>
    <r>
      <rPr>
        <i val="true"/>
        <sz val="11"/>
        <rFont val="Arial"/>
        <family val="0"/>
        <charset val="1"/>
      </rPr>
      <t xml:space="preserve">20 / </t>
    </r>
    <r>
      <rPr>
        <i val="true"/>
        <sz val="11"/>
        <rFont val="Noto Sans CJK SC"/>
        <family val="2"/>
      </rPr>
      <t xml:space="preserve">투명성 </t>
    </r>
    <r>
      <rPr>
        <i val="true"/>
        <sz val="11"/>
        <rFont val="Arial"/>
        <family val="0"/>
        <charset val="1"/>
      </rPr>
      <t xml:space="preserve">15  |  </t>
    </r>
    <r>
      <rPr>
        <i val="true"/>
        <sz val="11"/>
        <rFont val="Noto Sans CJK SC"/>
        <family val="2"/>
      </rPr>
      <t xml:space="preserve">안전 점수상한</t>
    </r>
    <r>
      <rPr>
        <i val="true"/>
        <sz val="11"/>
        <rFont val="Arial"/>
        <family val="0"/>
        <charset val="1"/>
      </rPr>
      <t xml:space="preserve">: </t>
    </r>
    <r>
      <rPr>
        <i val="true"/>
        <sz val="11"/>
        <rFont val="Noto Sans CJK SC"/>
        <family val="2"/>
      </rPr>
      <t xml:space="preserve">비해양성</t>
    </r>
    <r>
      <rPr>
        <i val="true"/>
        <sz val="11"/>
        <rFont val="Arial"/>
        <family val="0"/>
        <charset val="1"/>
      </rPr>
      <t xml:space="preserve">=ALA</t>
    </r>
    <r>
      <rPr>
        <i val="true"/>
        <sz val="11"/>
        <rFont val="Noto Sans CJK SC"/>
        <family val="2"/>
      </rPr>
      <t xml:space="preserve">단독→</t>
    </r>
    <r>
      <rPr>
        <i val="true"/>
        <sz val="11"/>
        <rFont val="Arial"/>
        <family val="0"/>
        <charset val="1"/>
      </rPr>
      <t xml:space="preserve">20, </t>
    </r>
    <r>
      <rPr>
        <i val="true"/>
        <sz val="11"/>
        <rFont val="Noto Sans CJK SC"/>
        <family val="2"/>
      </rPr>
      <t xml:space="preserve">대구간유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肝油</t>
    </r>
    <r>
      <rPr>
        <i val="true"/>
        <sz val="11"/>
        <rFont val="Arial"/>
        <family val="0"/>
        <charset val="1"/>
      </rPr>
      <t xml:space="preserve">)→40, </t>
    </r>
    <r>
      <rPr>
        <i val="true"/>
        <sz val="11"/>
        <rFont val="Noto Sans CJK SC"/>
        <family val="2"/>
      </rPr>
      <t xml:space="preserve">산패고위험→</t>
    </r>
    <r>
      <rPr>
        <i val="true"/>
        <sz val="11"/>
        <rFont val="Arial"/>
        <family val="0"/>
        <charset val="1"/>
      </rPr>
      <t xml:space="preserve">50  |  ※</t>
    </r>
    <r>
      <rPr>
        <i val="true"/>
        <sz val="11"/>
        <rFont val="Noto Sans CJK SC"/>
        <family val="2"/>
      </rPr>
      <t xml:space="preserve">조류</t>
    </r>
    <r>
      <rPr>
        <i val="true"/>
        <sz val="11"/>
        <rFont val="Arial"/>
        <family val="0"/>
        <charset val="1"/>
      </rPr>
      <t xml:space="preserve">(algae) </t>
    </r>
    <r>
      <rPr>
        <i val="true"/>
        <sz val="11"/>
        <rFont val="Noto Sans CJK SC"/>
        <family val="2"/>
      </rPr>
      <t xml:space="preserve">오일은 </t>
    </r>
    <r>
      <rPr>
        <i val="true"/>
        <sz val="11"/>
        <rFont val="Arial"/>
        <family val="0"/>
        <charset val="1"/>
      </rPr>
      <t xml:space="preserve">EPA/DHA</t>
    </r>
    <r>
      <rPr>
        <i val="true"/>
        <sz val="11"/>
        <rFont val="Noto Sans CJK SC"/>
        <family val="2"/>
      </rPr>
      <t xml:space="preserve">를 직접 공급</t>
    </r>
    <r>
      <rPr>
        <i val="true"/>
        <sz val="11"/>
        <rFont val="Arial"/>
        <family val="0"/>
        <charset val="1"/>
      </rPr>
      <t xml:space="preserve">=</t>
    </r>
    <r>
      <rPr>
        <i val="true"/>
        <sz val="11"/>
        <rFont val="Noto Sans CJK SC"/>
        <family val="2"/>
      </rPr>
      <t xml:space="preserve">정상 처리 </t>
    </r>
    <r>
      <rPr>
        <i val="true"/>
        <sz val="11"/>
        <rFont val="Arial"/>
        <family val="0"/>
        <charset val="1"/>
      </rPr>
      <t xml:space="preserve">/ </t>
    </r>
    <r>
      <rPr>
        <i val="true"/>
        <sz val="11"/>
        <rFont val="Noto Sans CJK SC"/>
        <family val="2"/>
      </rPr>
      <t xml:space="preserve">폴락 어체유는 간유 아님</t>
    </r>
  </si>
  <si>
    <t xml:space="preserve">비율표기</t>
  </si>
  <si>
    <t xml:space="preserve">명시</t>
  </si>
  <si>
    <t xml:space="preserve">일부</t>
  </si>
  <si>
    <t xml:space="preserve">미표기</t>
  </si>
  <si>
    <t xml:space="preserve">미상</t>
  </si>
  <si>
    <t xml:space="preserve">형태</t>
  </si>
  <si>
    <t xml:space="preserve">rTG</t>
  </si>
  <si>
    <t xml:space="preserve">TG</t>
  </si>
  <si>
    <t xml:space="preserve">EE</t>
  </si>
  <si>
    <t xml:space="preserve">어종</t>
  </si>
  <si>
    <t xml:space="preserve">소형어</t>
  </si>
  <si>
    <t xml:space="preserve">일반어</t>
  </si>
  <si>
    <t xml:space="preserve">식물성</t>
  </si>
  <si>
    <t xml:space="preserve">조류</t>
  </si>
  <si>
    <t xml:space="preserve">항산화제</t>
  </si>
  <si>
    <t xml:space="preserve">있음</t>
  </si>
  <si>
    <t xml:space="preserve">없음</t>
  </si>
  <si>
    <t xml:space="preserve">포장</t>
  </si>
  <si>
    <t xml:space="preserve">우수</t>
  </si>
  <si>
    <t xml:space="preserve">보통</t>
  </si>
  <si>
    <t xml:space="preserve">취약</t>
  </si>
  <si>
    <t xml:space="preserve">제형</t>
  </si>
  <si>
    <t xml:space="preserve">캡슐</t>
  </si>
  <si>
    <t xml:space="preserve">소프트젤</t>
  </si>
  <si>
    <t xml:space="preserve">츄</t>
  </si>
  <si>
    <t xml:space="preserve">스틱</t>
  </si>
  <si>
    <t xml:space="preserve">펌프액상</t>
  </si>
  <si>
    <t xml:space="preserve">대용량액상</t>
  </si>
  <si>
    <t xml:space="preserve">인증</t>
  </si>
  <si>
    <t xml:space="preserve">COA</t>
  </si>
  <si>
    <t xml:space="preserve">공개</t>
  </si>
  <si>
    <t xml:space="preserve">원료사</t>
  </si>
  <si>
    <t xml:space="preserve">번호</t>
  </si>
  <si>
    <t xml:space="preserve">제품명</t>
  </si>
  <si>
    <t xml:space="preserve">분류</t>
  </si>
  <si>
    <r>
      <rPr>
        <b val="true"/>
        <sz val="11"/>
        <color rgb="FFFFFFFF"/>
        <rFont val="Noto Sans CJK SC"/>
        <family val="2"/>
      </rPr>
      <t xml:space="preserve">밀도</t>
    </r>
    <r>
      <rPr>
        <b val="true"/>
        <sz val="11"/>
        <color rgb="FFFFFFFF"/>
        <rFont val="Arial"/>
        <family val="0"/>
        <charset val="1"/>
      </rPr>
      <t xml:space="preserve">(EPA+DHA mg/</t>
    </r>
    <r>
      <rPr>
        <b val="true"/>
        <sz val="11"/>
        <color rgb="FFFFFFFF"/>
        <rFont val="Noto Sans CJK SC"/>
        <family val="2"/>
      </rPr>
      <t xml:space="preserve">단위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</si>
  <si>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순도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</si>
  <si>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비해양성</t>
  </si>
  <si>
    <t xml:space="preserve">대구</t>
  </si>
  <si>
    <t xml:space="preserve">산패고위험</t>
  </si>
  <si>
    <r>
      <rPr>
        <b val="true"/>
        <sz val="11"/>
        <color rgb="FFFFFFFF"/>
        <rFont val="Noto Sans CJK SC"/>
        <family val="2"/>
      </rPr>
      <t xml:space="preserve">성분</t>
    </r>
    <r>
      <rPr>
        <b val="true"/>
        <sz val="11"/>
        <color rgb="FFFFFFFF"/>
        <rFont val="Arial"/>
        <family val="0"/>
        <charset val="1"/>
      </rPr>
      <t xml:space="preserve">/35</t>
    </r>
  </si>
  <si>
    <r>
      <rPr>
        <b val="true"/>
        <sz val="11"/>
        <color rgb="FFFFFFFF"/>
        <rFont val="Noto Sans CJK SC"/>
        <family val="2"/>
      </rPr>
      <t xml:space="preserve">산패</t>
    </r>
    <r>
      <rPr>
        <b val="true"/>
        <sz val="11"/>
        <color rgb="FFFFFFFF"/>
        <rFont val="Arial"/>
        <family val="0"/>
        <charset val="1"/>
      </rPr>
      <t xml:space="preserve">/30</t>
    </r>
  </si>
  <si>
    <r>
      <rPr>
        <b val="true"/>
        <sz val="11"/>
        <color rgb="FFFFFFFF"/>
        <rFont val="Noto Sans CJK SC"/>
        <family val="2"/>
      </rPr>
      <t xml:space="preserve">원료형태</t>
    </r>
    <r>
      <rPr>
        <b val="true"/>
        <sz val="11"/>
        <color rgb="FFFFFFFF"/>
        <rFont val="Arial"/>
        <family val="0"/>
        <charset val="1"/>
      </rPr>
      <t xml:space="preserve">/20</t>
    </r>
  </si>
  <si>
    <r>
      <rPr>
        <b val="true"/>
        <sz val="11"/>
        <color rgb="FFFFFFFF"/>
        <rFont val="Noto Sans CJK SC"/>
        <family val="2"/>
      </rPr>
      <t xml:space="preserve">투명성</t>
    </r>
    <r>
      <rPr>
        <b val="true"/>
        <sz val="11"/>
        <color rgb="FFFFFFFF"/>
        <rFont val="Arial"/>
        <family val="0"/>
        <charset val="1"/>
      </rPr>
      <t xml:space="preserve">/15</t>
    </r>
  </si>
  <si>
    <t xml:space="preserve">합계</t>
  </si>
  <si>
    <t xml:space="preserve">안전상한</t>
  </si>
  <si>
    <t xml:space="preserve">최종점수</t>
  </si>
  <si>
    <t xml:space="preserve">잠정순위</t>
  </si>
  <si>
    <t xml:space="preserve">정보검증</t>
  </si>
  <si>
    <t xml:space="preserve">적합성</t>
  </si>
  <si>
    <t xml:space="preserve">데이터충실도</t>
  </si>
  <si>
    <r>
      <rPr>
        <b val="true"/>
        <sz val="11"/>
        <color rgb="FFFFFFFF"/>
        <rFont val="Noto Sans CJK SC"/>
        <family val="2"/>
      </rPr>
      <t xml:space="preserve">출처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비고</t>
    </r>
  </si>
  <si>
    <r>
      <rPr>
        <sz val="11"/>
        <rFont val="Noto Sans CJK SC"/>
        <family val="2"/>
      </rPr>
      <t xml:space="preserve">닥터레이 오메가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</si>
  <si>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펫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캡슐</t>
    </r>
  </si>
  <si>
    <t xml:space="preserve">N</t>
  </si>
  <si>
    <r>
      <rPr>
        <sz val="11"/>
        <rFont val="Noto Sans CJK SC"/>
        <family val="2"/>
      </rPr>
      <t xml:space="preserve">공개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검증</t>
    </r>
  </si>
  <si>
    <r>
      <rPr>
        <sz val="11"/>
        <rFont val="Noto Sans CJK SC"/>
        <family val="2"/>
      </rPr>
      <t xml:space="preserve">관절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신장</t>
    </r>
    <r>
      <rPr>
        <sz val="11"/>
        <rFont val="Arial"/>
        <family val="0"/>
        <charset val="1"/>
      </rPr>
      <t xml:space="preserve">(EPA</t>
    </r>
    <r>
      <rPr>
        <sz val="11"/>
        <rFont val="Noto Sans CJK SC"/>
        <family val="2"/>
      </rPr>
      <t xml:space="preserve">우세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</si>
  <si>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캡슐 </t>
    </r>
    <r>
      <rPr>
        <sz val="11"/>
        <rFont val="Arial"/>
        <family val="0"/>
        <charset val="1"/>
      </rPr>
      <t xml:space="preserve">EPA120+DHA80=200mg·</t>
    </r>
    <r>
      <rPr>
        <sz val="11"/>
        <rFont val="Noto Sans CJK SC"/>
        <family val="2"/>
      </rPr>
      <t xml:space="preserve">순도</t>
    </r>
    <r>
      <rPr>
        <sz val="11"/>
        <rFont val="Arial"/>
        <family val="0"/>
        <charset val="1"/>
      </rPr>
      <t xml:space="preserve">80%·rTG·</t>
    </r>
    <r>
      <rPr>
        <sz val="11"/>
        <rFont val="Noto Sans CJK SC"/>
        <family val="2"/>
      </rPr>
      <t xml:space="preserve">멸치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정어리</t>
    </r>
    <r>
      <rPr>
        <sz val="11"/>
        <rFont val="Arial"/>
        <family val="0"/>
        <charset val="1"/>
      </rPr>
      <t xml:space="preserve">·d-</t>
    </r>
    <r>
      <rPr>
        <sz val="11"/>
        <rFont val="Noto Sans CJK SC"/>
        <family val="2"/>
      </rPr>
      <t xml:space="preserve">토코페롤</t>
    </r>
    <r>
      <rPr>
        <sz val="11"/>
        <rFont val="Arial"/>
        <family val="0"/>
        <charset val="1"/>
      </rPr>
      <t xml:space="preserve">·PVDC</t>
    </r>
    <r>
      <rPr>
        <sz val="11"/>
        <rFont val="Noto Sans CJK SC"/>
        <family val="2"/>
      </rPr>
      <t xml:space="preserve">블리스터</t>
    </r>
    <r>
      <rPr>
        <sz val="11"/>
        <rFont val="Arial"/>
        <family val="0"/>
        <charset val="1"/>
      </rPr>
      <t xml:space="preserve">·IFOS5★</t>
    </r>
    <r>
      <rPr>
        <sz val="11"/>
        <rFont val="Noto Sans CJK SC"/>
        <family val="2"/>
      </rPr>
      <t xml:space="preserve">완제품</t>
    </r>
    <r>
      <rPr>
        <sz val="11"/>
        <rFont val="Arial"/>
        <family val="0"/>
        <charset val="1"/>
      </rPr>
      <t xml:space="preserve">(TOTOX10.32·</t>
    </r>
    <r>
      <rPr>
        <sz val="11"/>
        <rFont val="Noto Sans CJK SC"/>
        <family val="2"/>
      </rPr>
      <t xml:space="preserve">산가</t>
    </r>
    <r>
      <rPr>
        <sz val="11"/>
        <rFont val="Arial"/>
        <family val="0"/>
        <charset val="1"/>
      </rPr>
      <t xml:space="preserve">0.17·</t>
    </r>
    <r>
      <rPr>
        <sz val="11"/>
        <rFont val="Noto Sans CJK SC"/>
        <family val="2"/>
      </rPr>
      <t xml:space="preserve">중금속통과</t>
    </r>
    <r>
      <rPr>
        <sz val="11"/>
        <rFont val="Arial"/>
        <family val="0"/>
        <charset val="1"/>
      </rPr>
      <t xml:space="preserve">)·KD</t>
    </r>
    <r>
      <rPr>
        <sz val="11"/>
        <rFont val="Noto Sans CJK SC"/>
        <family val="2"/>
      </rPr>
      <t xml:space="preserve">파마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로빈슨파마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상세페이지 실측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</si>
  <si>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조공 </t>
    </r>
    <r>
      <rPr>
        <sz val="11"/>
        <rFont val="Arial"/>
        <family val="0"/>
        <charset val="1"/>
      </rPr>
      <t xml:space="preserve">rTG </t>
    </r>
    <r>
      <rPr>
        <sz val="11"/>
        <rFont val="Noto Sans CJK SC"/>
        <family val="2"/>
      </rPr>
      <t xml:space="preserve">퓨어 오메가</t>
    </r>
    <r>
      <rPr>
        <sz val="11"/>
        <rFont val="Arial"/>
        <family val="0"/>
        <charset val="1"/>
      </rPr>
      <t xml:space="preserve">3</t>
    </r>
  </si>
  <si>
    <t xml:space="preserve">미정</t>
  </si>
  <si>
    <r>
      <rPr>
        <sz val="11"/>
        <rFont val="Arial"/>
        <family val="0"/>
        <charset val="1"/>
      </rPr>
      <t xml:space="preserve">IFOS 5-star·Solutex·</t>
    </r>
    <r>
      <rPr>
        <sz val="11"/>
        <rFont val="Noto Sans CJK SC"/>
        <family val="2"/>
      </rPr>
      <t xml:space="preserve">순도</t>
    </r>
    <r>
      <rPr>
        <sz val="11"/>
        <rFont val="Arial"/>
        <family val="0"/>
        <charset val="1"/>
      </rPr>
      <t xml:space="preserve">80%+ (</t>
    </r>
    <r>
      <rPr>
        <sz val="11"/>
        <rFont val="Noto Sans CJK SC"/>
        <family val="2"/>
      </rPr>
      <t xml:space="preserve">모굿인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</si>
  <si>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조공 레드 오메가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미니</t>
    </r>
  </si>
  <si>
    <r>
      <rPr>
        <sz val="11"/>
        <rFont val="Noto Sans CJK SC"/>
        <family val="2"/>
      </rPr>
      <t xml:space="preserve">일반유지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피부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아스타잔틴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</si>
  <si>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캡슐 </t>
    </r>
    <r>
      <rPr>
        <sz val="11"/>
        <rFont val="Arial"/>
        <family val="0"/>
        <charset val="1"/>
      </rPr>
      <t xml:space="preserve">EPA66+DHA44=110mg(rTG</t>
    </r>
    <r>
      <rPr>
        <sz val="11"/>
        <rFont val="Noto Sans CJK SC"/>
        <family val="2"/>
      </rPr>
      <t xml:space="preserve">오일</t>
    </r>
    <r>
      <rPr>
        <sz val="11"/>
        <rFont val="Arial"/>
        <family val="0"/>
        <charset val="1"/>
      </rPr>
      <t xml:space="preserve">137.6mg·</t>
    </r>
    <r>
      <rPr>
        <sz val="11"/>
        <rFont val="Noto Sans CJK SC"/>
        <family val="2"/>
      </rPr>
      <t xml:space="preserve">순도</t>
    </r>
    <r>
      <rPr>
        <sz val="11"/>
        <rFont val="Arial"/>
        <family val="0"/>
        <charset val="1"/>
      </rPr>
      <t xml:space="preserve">80%)·</t>
    </r>
    <r>
      <rPr>
        <sz val="11"/>
        <rFont val="Noto Sans CJK SC"/>
        <family val="2"/>
      </rPr>
      <t xml:space="preserve">멸치류 소형어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아스타잔틴</t>
    </r>
    <r>
      <rPr>
        <sz val="11"/>
        <rFont val="Arial"/>
        <family val="0"/>
        <charset val="1"/>
      </rPr>
      <t xml:space="preserve">5mg+d-</t>
    </r>
    <r>
      <rPr>
        <sz val="11"/>
        <rFont val="Noto Sans CJK SC"/>
        <family val="2"/>
      </rPr>
      <t xml:space="preserve">토코페롤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블리스터개별포장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원료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완제품</t>
    </r>
    <r>
      <rPr>
        <sz val="11"/>
        <rFont val="Arial"/>
        <family val="0"/>
        <charset val="1"/>
      </rPr>
      <t xml:space="preserve">IFOS5★(TOTOX16.49·</t>
    </r>
    <r>
      <rPr>
        <sz val="11"/>
        <rFont val="Noto Sans CJK SC"/>
        <family val="2"/>
      </rPr>
      <t xml:space="preserve">산가</t>
    </r>
    <r>
      <rPr>
        <sz val="11"/>
        <rFont val="Arial"/>
        <family val="0"/>
        <charset val="1"/>
      </rPr>
      <t xml:space="preserve">0.27·</t>
    </r>
    <r>
      <rPr>
        <sz val="11"/>
        <rFont val="Noto Sans CJK SC"/>
        <family val="2"/>
      </rPr>
      <t xml:space="preserve">중금속통과</t>
    </r>
    <r>
      <rPr>
        <sz val="11"/>
        <rFont val="Arial"/>
        <family val="0"/>
        <charset val="1"/>
      </rPr>
      <t xml:space="preserve">)·Solutex/Viva</t>
    </r>
    <r>
      <rPr>
        <sz val="11"/>
        <rFont val="Noto Sans CJK SC"/>
        <family val="2"/>
      </rPr>
      <t xml:space="preserve">제조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고양이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상세페이지 실측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</si>
  <si>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조공 데일리 퓨어 오메가</t>
    </r>
    <r>
      <rPr>
        <sz val="11"/>
        <rFont val="Arial"/>
        <family val="0"/>
        <charset val="1"/>
      </rPr>
      <t xml:space="preserve">-3 </t>
    </r>
    <r>
      <rPr>
        <sz val="11"/>
        <rFont val="Noto Sans CJK SC"/>
        <family val="2"/>
      </rPr>
      <t xml:space="preserve">미니</t>
    </r>
  </si>
  <si>
    <r>
      <rPr>
        <sz val="11"/>
        <rFont val="Noto Sans CJK SC"/>
        <family val="2"/>
      </rPr>
      <t xml:space="preserve">일반유지</t>
    </r>
    <r>
      <rPr>
        <sz val="11"/>
        <rFont val="Arial"/>
        <family val="0"/>
        <charset val="1"/>
      </rPr>
      <t xml:space="preserve">(EPA 2:1)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</si>
  <si>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캡슐 </t>
    </r>
    <r>
      <rPr>
        <sz val="11"/>
        <rFont val="Arial"/>
        <family val="0"/>
        <charset val="1"/>
      </rPr>
      <t xml:space="preserve">EPA73.3+DHA36.7=110mg(rTG</t>
    </r>
    <r>
      <rPr>
        <sz val="11"/>
        <rFont val="Noto Sans CJK SC"/>
        <family val="2"/>
      </rPr>
      <t xml:space="preserve">오일</t>
    </r>
    <r>
      <rPr>
        <sz val="11"/>
        <rFont val="Arial"/>
        <family val="0"/>
        <charset val="1"/>
      </rPr>
      <t xml:space="preserve">146.67mg·</t>
    </r>
    <r>
      <rPr>
        <sz val="11"/>
        <rFont val="Noto Sans CJK SC"/>
        <family val="2"/>
      </rPr>
      <t xml:space="preserve">순도</t>
    </r>
    <r>
      <rPr>
        <sz val="11"/>
        <rFont val="Arial"/>
        <family val="0"/>
        <charset val="1"/>
      </rPr>
      <t xml:space="preserve">75%)·</t>
    </r>
    <r>
      <rPr>
        <sz val="11"/>
        <rFont val="Noto Sans CJK SC"/>
        <family val="2"/>
      </rPr>
      <t xml:space="preserve">멸치류 소형어</t>
    </r>
    <r>
      <rPr>
        <sz val="11"/>
        <rFont val="Arial"/>
        <family val="0"/>
        <charset val="1"/>
      </rPr>
      <t xml:space="preserve">·d-</t>
    </r>
    <r>
      <rPr>
        <sz val="11"/>
        <rFont val="Noto Sans CJK SC"/>
        <family val="2"/>
      </rPr>
      <t xml:space="preserve">토코페롤</t>
    </r>
    <r>
      <rPr>
        <sz val="11"/>
        <rFont val="Arial"/>
        <family val="0"/>
        <charset val="1"/>
      </rPr>
      <t xml:space="preserve">5.4mg·90</t>
    </r>
    <r>
      <rPr>
        <sz val="11"/>
        <rFont val="Noto Sans CJK SC"/>
        <family val="2"/>
      </rPr>
      <t xml:space="preserve">캡슐 병포장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원료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완제품</t>
    </r>
    <r>
      <rPr>
        <sz val="11"/>
        <rFont val="Arial"/>
        <family val="0"/>
        <charset val="1"/>
      </rPr>
      <t xml:space="preserve">IFOS5★(TOTOX16.48·</t>
    </r>
    <r>
      <rPr>
        <sz val="11"/>
        <rFont val="Noto Sans CJK SC"/>
        <family val="2"/>
      </rPr>
      <t xml:space="preserve">산가</t>
    </r>
    <r>
      <rPr>
        <sz val="11"/>
        <rFont val="Arial"/>
        <family val="0"/>
        <charset val="1"/>
      </rPr>
      <t xml:space="preserve">0.11·</t>
    </r>
    <r>
      <rPr>
        <sz val="11"/>
        <rFont val="Noto Sans CJK SC"/>
        <family val="2"/>
      </rPr>
      <t xml:space="preserve">중금속통과</t>
    </r>
    <r>
      <rPr>
        <sz val="11"/>
        <rFont val="Arial"/>
        <family val="0"/>
        <charset val="1"/>
      </rPr>
      <t xml:space="preserve">)·Solutex Omegatex·</t>
    </r>
    <r>
      <rPr>
        <sz val="11"/>
        <rFont val="Noto Sans CJK SC"/>
        <family val="2"/>
      </rPr>
      <t xml:space="preserve">고양이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상세페이지 실측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</si>
  <si>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묘견서 오메가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</si>
  <si>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캡슐 </t>
    </r>
    <r>
      <rPr>
        <sz val="11"/>
        <rFont val="Arial"/>
        <family val="0"/>
        <charset val="1"/>
      </rPr>
      <t xml:space="preserve">EPA192+DHA128=320mg(</t>
    </r>
    <r>
      <rPr>
        <sz val="11"/>
        <rFont val="Noto Sans CJK SC"/>
        <family val="2"/>
      </rPr>
      <t xml:space="preserve">정제어유</t>
    </r>
    <r>
      <rPr>
        <sz val="11"/>
        <rFont val="Arial"/>
        <family val="0"/>
        <charset val="1"/>
      </rPr>
      <t xml:space="preserve">400mg·</t>
    </r>
    <r>
      <rPr>
        <sz val="11"/>
        <rFont val="Noto Sans CJK SC"/>
        <family val="2"/>
      </rPr>
      <t xml:space="preserve">순도</t>
    </r>
    <r>
      <rPr>
        <sz val="11"/>
        <rFont val="Arial"/>
        <family val="0"/>
        <charset val="1"/>
      </rPr>
      <t xml:space="preserve">80%)·rTG·</t>
    </r>
    <r>
      <rPr>
        <sz val="11"/>
        <rFont val="Noto Sans CJK SC"/>
        <family val="2"/>
      </rPr>
      <t xml:space="preserve">멸치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정어리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고등어</t>
    </r>
    <r>
      <rPr>
        <sz val="11"/>
        <rFont val="Arial"/>
        <family val="0"/>
        <charset val="1"/>
      </rPr>
      <t xml:space="preserve">·d-</t>
    </r>
    <r>
      <rPr>
        <sz val="11"/>
        <rFont val="Noto Sans CJK SC"/>
        <family val="2"/>
      </rPr>
      <t xml:space="preserve">토코페롤</t>
    </r>
    <r>
      <rPr>
        <sz val="11"/>
        <rFont val="Arial"/>
        <family val="0"/>
        <charset val="1"/>
      </rPr>
      <t xml:space="preserve">·PVDC</t>
    </r>
    <r>
      <rPr>
        <sz val="11"/>
        <rFont val="Noto Sans CJK SC"/>
        <family val="2"/>
      </rPr>
      <t xml:space="preserve">개별포장</t>
    </r>
    <r>
      <rPr>
        <sz val="11"/>
        <rFont val="Arial"/>
        <family val="0"/>
        <charset val="1"/>
      </rPr>
      <t xml:space="preserve">·IFOS5★</t>
    </r>
    <r>
      <rPr>
        <sz val="11"/>
        <rFont val="Noto Sans CJK SC"/>
        <family val="2"/>
      </rPr>
      <t xml:space="preserve">완제품</t>
    </r>
    <r>
      <rPr>
        <sz val="11"/>
        <rFont val="Arial"/>
        <family val="0"/>
        <charset val="1"/>
      </rPr>
      <t xml:space="preserve">+RTCP(TOTOX13.07·</t>
    </r>
    <r>
      <rPr>
        <sz val="11"/>
        <rFont val="Noto Sans CJK SC"/>
        <family val="2"/>
      </rPr>
      <t xml:space="preserve">산가</t>
    </r>
    <r>
      <rPr>
        <sz val="11"/>
        <rFont val="Arial"/>
        <family val="0"/>
        <charset val="1"/>
      </rPr>
      <t xml:space="preserve">0.20·</t>
    </r>
    <r>
      <rPr>
        <sz val="11"/>
        <rFont val="Noto Sans CJK SC"/>
        <family val="2"/>
      </rPr>
      <t xml:space="preserve">중금속통과</t>
    </r>
    <r>
      <rPr>
        <sz val="11"/>
        <rFont val="Arial"/>
        <family val="0"/>
        <charset val="1"/>
      </rPr>
      <t xml:space="preserve">)·KD</t>
    </r>
    <r>
      <rPr>
        <sz val="11"/>
        <rFont val="Noto Sans CJK SC"/>
        <family val="2"/>
      </rPr>
      <t xml:space="preserve">파마</t>
    </r>
    <r>
      <rPr>
        <sz val="11"/>
        <rFont val="Arial"/>
        <family val="0"/>
        <charset val="1"/>
      </rPr>
      <t xml:space="preserve">480320TG (</t>
    </r>
    <r>
      <rPr>
        <sz val="11"/>
        <rFont val="Noto Sans CJK SC"/>
        <family val="2"/>
      </rPr>
      <t xml:space="preserve">상세페이지 실측</t>
    </r>
    <r>
      <rPr>
        <sz val="11"/>
        <rFont val="Arial"/>
        <family val="0"/>
        <charset val="1"/>
      </rPr>
      <t xml:space="preserve">)</t>
    </r>
  </si>
  <si>
    <t xml:space="preserve">노르딕내추럴스 펫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</si>
  <si>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소프트젤 </t>
    </r>
    <r>
      <rPr>
        <sz val="11"/>
        <rFont val="Arial"/>
        <family val="0"/>
        <charset val="1"/>
      </rPr>
      <t xml:space="preserve">EPA155+DHA100=255mg·</t>
    </r>
    <r>
      <rPr>
        <sz val="11"/>
        <rFont val="Noto Sans CJK SC"/>
        <family val="2"/>
      </rPr>
      <t xml:space="preserve">멸치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정어리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고등어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청어</t>
    </r>
    <r>
      <rPr>
        <sz val="11"/>
        <rFont val="Arial"/>
        <family val="0"/>
        <charset val="1"/>
      </rPr>
      <t xml:space="preserve">·TG·</t>
    </r>
    <r>
      <rPr>
        <sz val="11"/>
        <rFont val="Noto Sans CJK SC"/>
        <family val="2"/>
      </rPr>
      <t xml:space="preserve">토코페롤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배치별 시험공개 </t>
    </r>
    <r>
      <rPr>
        <sz val="11"/>
        <rFont val="Arial"/>
        <family val="0"/>
        <charset val="1"/>
      </rPr>
      <t xml:space="preserve">(onlynaturalpet/petco)</t>
    </r>
  </si>
  <si>
    <r>
      <rPr>
        <sz val="11"/>
        <rFont val="Arial"/>
        <family val="0"/>
        <charset val="1"/>
      </rPr>
      <t xml:space="preserve">88</t>
    </r>
    <r>
      <rPr>
        <sz val="11"/>
        <rFont val="Noto Sans CJK SC"/>
        <family val="2"/>
      </rPr>
      <t xml:space="preserve">오메가가드</t>
    </r>
  </si>
  <si>
    <r>
      <rPr>
        <sz val="11"/>
        <rFont val="Noto Sans CJK SC"/>
        <family val="2"/>
      </rPr>
      <t xml:space="preserve">펫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츄</t>
    </r>
  </si>
  <si>
    <r>
      <rPr>
        <sz val="11"/>
        <rFont val="Noto Sans CJK SC"/>
        <family val="2"/>
      </rPr>
      <t xml:space="preserve">씹는 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스펙 수집중</t>
    </r>
  </si>
  <si>
    <r>
      <rPr>
        <sz val="11"/>
        <rFont val="Noto Sans CJK SC"/>
        <family val="2"/>
      </rPr>
      <t xml:space="preserve">듀오메가 </t>
    </r>
    <r>
      <rPr>
        <sz val="11"/>
        <rFont val="Arial"/>
        <family val="0"/>
        <charset val="1"/>
      </rPr>
      <t xml:space="preserve">500mg</t>
    </r>
  </si>
  <si>
    <r>
      <rPr>
        <sz val="11"/>
        <rFont val="Noto Sans CJK SC"/>
        <family val="2"/>
      </rPr>
      <t xml:space="preserve">표시 </t>
    </r>
    <r>
      <rPr>
        <sz val="11"/>
        <rFont val="Arial"/>
        <family val="0"/>
        <charset val="1"/>
      </rPr>
      <t xml:space="preserve">500mg(</t>
    </r>
    <r>
      <rPr>
        <sz val="11"/>
        <rFont val="Noto Sans CJK SC"/>
        <family val="2"/>
      </rPr>
      <t xml:space="preserve">오일 추정</t>
    </r>
    <r>
      <rPr>
        <sz val="11"/>
        <rFont val="Arial"/>
        <family val="0"/>
        <charset val="1"/>
      </rPr>
      <t xml:space="preserve">)·EPA+DHA </t>
    </r>
    <r>
      <rPr>
        <sz val="11"/>
        <rFont val="Noto Sans CJK SC"/>
        <family val="2"/>
      </rPr>
      <t xml:space="preserve">미상</t>
    </r>
  </si>
  <si>
    <r>
      <rPr>
        <sz val="11"/>
        <rFont val="Noto Sans CJK SC"/>
        <family val="2"/>
      </rPr>
      <t xml:space="preserve">아베텍 오메가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벳</t>
    </r>
  </si>
  <si>
    <t xml:space="preserve">스펙 수집중</t>
  </si>
  <si>
    <r>
      <rPr>
        <sz val="11"/>
        <rFont val="Noto Sans CJK SC"/>
        <family val="2"/>
      </rPr>
      <t xml:space="preserve">페스룸 타이니 오메가</t>
    </r>
    <r>
      <rPr>
        <sz val="11"/>
        <rFont val="Arial"/>
        <family val="0"/>
        <charset val="1"/>
      </rPr>
      <t xml:space="preserve">-3</t>
    </r>
  </si>
  <si>
    <t xml:space="preserve">펫</t>
  </si>
  <si>
    <r>
      <rPr>
        <sz val="11"/>
        <rFont val="Noto Sans CJK SC"/>
        <family val="2"/>
      </rPr>
      <t xml:space="preserve">룰루파마 오메가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</si>
  <si>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씽크라이크펫 오메가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</si>
  <si>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이퀄 스틱 오메가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</si>
  <si>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펫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스틱</t>
    </r>
  </si>
  <si>
    <t xml:space="preserve">라벨만</t>
  </si>
  <si>
    <r>
      <rPr>
        <sz val="11"/>
        <rFont val="Noto Sans CJK SC"/>
        <family val="2"/>
      </rPr>
      <t xml:space="preserve">수의사 설계 스틱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초고함량 표방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수치 미상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이퀄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</si>
  <si>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펫생각 오메가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플러스</t>
    </r>
  </si>
  <si>
    <r>
      <rPr>
        <sz val="11"/>
        <rFont val="Noto Sans CJK SC"/>
        <family val="2"/>
      </rPr>
      <t xml:space="preserve">펫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병원채널</t>
    </r>
  </si>
  <si>
    <r>
      <rPr>
        <sz val="11"/>
        <rFont val="Noto Sans CJK SC"/>
        <family val="2"/>
      </rPr>
      <t xml:space="preserve">동물병원협회 추천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비타트라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</si>
  <si>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펫생각 데일리케얼 오메가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미니</t>
    </r>
  </si>
  <si>
    <r>
      <rPr>
        <sz val="11"/>
        <rFont val="Noto Sans CJK SC"/>
        <family val="2"/>
      </rPr>
      <t xml:space="preserve">미니 </t>
    </r>
    <r>
      <rPr>
        <sz val="11"/>
        <rFont val="Arial"/>
        <family val="0"/>
        <charset val="1"/>
      </rPr>
      <t xml:space="preserve">SKU·</t>
    </r>
    <r>
      <rPr>
        <sz val="11"/>
        <rFont val="Noto Sans CJK SC"/>
        <family val="2"/>
      </rPr>
      <t xml:space="preserve">스펙 수집중</t>
    </r>
  </si>
  <si>
    <r>
      <rPr>
        <sz val="11"/>
        <rFont val="Noto Sans CJK SC"/>
        <family val="2"/>
      </rPr>
      <t xml:space="preserve">아이슬란딕 헤링 오메가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</si>
  <si>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펫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액상</t>
    </r>
  </si>
  <si>
    <r>
      <rPr>
        <sz val="11"/>
        <rFont val="Noto Sans CJK SC"/>
        <family val="2"/>
      </rPr>
      <t xml:space="preserve">청어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액상펌프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비산화구조 표방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비마이펫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</si>
  <si>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바이오펫츠 펫메가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</si>
  <si>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연어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액상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공기차단특허</t>
    </r>
  </si>
  <si>
    <r>
      <rPr>
        <sz val="11"/>
        <rFont val="Noto Sans CJK SC"/>
        <family val="2"/>
      </rPr>
      <t xml:space="preserve">브릴리언트 연어오일 </t>
    </r>
    <r>
      <rPr>
        <sz val="11"/>
        <rFont val="Arial"/>
        <family val="0"/>
        <charset val="1"/>
      </rPr>
      <t xml:space="preserve">1000ml</t>
    </r>
  </si>
  <si>
    <r>
      <rPr>
        <sz val="11"/>
        <rFont val="Noto Sans CJK SC"/>
        <family val="2"/>
      </rPr>
      <t xml:space="preserve">연어오일 </t>
    </r>
    <r>
      <rPr>
        <sz val="11"/>
        <rFont val="Arial"/>
        <family val="0"/>
        <charset val="1"/>
      </rPr>
      <t xml:space="preserve">1000ml </t>
    </r>
    <r>
      <rPr>
        <sz val="11"/>
        <rFont val="Noto Sans CJK SC"/>
        <family val="2"/>
      </rPr>
      <t xml:space="preserve">대용량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핏펫</t>
    </r>
    <r>
      <rPr>
        <sz val="11"/>
        <rFont val="Arial"/>
        <family val="0"/>
        <charset val="1"/>
      </rPr>
      <t xml:space="preserve">)</t>
    </r>
  </si>
  <si>
    <t xml:space="preserve">살모펫 노르웨이 연어오일</t>
  </si>
  <si>
    <r>
      <rPr>
        <sz val="11"/>
        <rFont val="Noto Sans CJK SC"/>
        <family val="2"/>
      </rPr>
      <t xml:space="preserve">노르웨이 연어오일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스펙 수집중</t>
    </r>
  </si>
  <si>
    <r>
      <rPr>
        <sz val="11"/>
        <rFont val="Noto Sans CJK SC"/>
        <family val="2"/>
      </rPr>
      <t xml:space="preserve">뉴트리벳 오메가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</si>
  <si>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연어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폴락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대구과 어체유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간유 아님</t>
    </r>
    <r>
      <rPr>
        <sz val="11"/>
        <rFont val="Arial"/>
        <family val="0"/>
        <charset val="1"/>
      </rPr>
      <t xml:space="preserve">)→</t>
    </r>
    <r>
      <rPr>
        <sz val="11"/>
        <rFont val="Noto Sans CJK SC"/>
        <family val="2"/>
      </rPr>
      <t xml:space="preserve">비타민</t>
    </r>
    <r>
      <rPr>
        <sz val="11"/>
        <rFont val="Arial"/>
        <family val="0"/>
        <charset val="1"/>
      </rPr>
      <t xml:space="preserve">A/D </t>
    </r>
    <r>
      <rPr>
        <sz val="11"/>
        <rFont val="Noto Sans CJK SC"/>
        <family val="2"/>
      </rPr>
      <t xml:space="preserve">상한 부적용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핏펫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</si>
  <si>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오메가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플러스펫 프리미엄</t>
    </r>
  </si>
  <si>
    <r>
      <rPr>
        <sz val="11"/>
        <rFont val="Noto Sans CJK SC"/>
        <family val="2"/>
      </rPr>
      <t xml:space="preserve">물개오일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루테인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해양성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스펙 미상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핏펫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</si>
  <si>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닥터뮨 식물성 오메가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</si>
  <si>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펫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식물성</t>
    </r>
  </si>
  <si>
    <t xml:space="preserve">원료확인필요</t>
  </si>
  <si>
    <r>
      <rPr>
        <sz val="11"/>
        <rFont val="Noto Sans CJK SC"/>
        <family val="2"/>
      </rPr>
      <t xml:space="preserve">원료 미확인</t>
    </r>
    <r>
      <rPr>
        <sz val="11"/>
        <rFont val="Arial"/>
        <family val="0"/>
        <charset val="1"/>
      </rPr>
      <t xml:space="preserve">(ALA/</t>
    </r>
    <r>
      <rPr>
        <sz val="11"/>
        <rFont val="Noto Sans CJK SC"/>
        <family val="2"/>
      </rPr>
      <t xml:space="preserve">조류</t>
    </r>
    <r>
      <rPr>
        <sz val="11"/>
        <rFont val="Arial"/>
        <family val="0"/>
        <charset val="1"/>
      </rPr>
      <t xml:space="preserve">)—ALA</t>
    </r>
    <r>
      <rPr>
        <sz val="11"/>
        <rFont val="Noto Sans CJK SC"/>
        <family val="2"/>
      </rPr>
      <t xml:space="preserve">면 상한</t>
    </r>
    <r>
      <rPr>
        <sz val="11"/>
        <rFont val="Arial"/>
        <family val="0"/>
        <charset val="1"/>
      </rPr>
      <t xml:space="preserve">20 </t>
    </r>
    <r>
      <rPr>
        <sz val="11"/>
        <rFont val="Noto Sans CJK SC"/>
        <family val="2"/>
      </rPr>
      <t xml:space="preserve">재적용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조류면 정상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닥터뮨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</si>
  <si>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뉴트리코어 펫 식물성 </t>
    </r>
    <r>
      <rPr>
        <sz val="11"/>
        <rFont val="Arial"/>
        <family val="0"/>
        <charset val="1"/>
      </rPr>
      <t xml:space="preserve">rTG</t>
    </r>
  </si>
  <si>
    <r>
      <rPr>
        <sz val="11"/>
        <rFont val="Arial"/>
        <family val="0"/>
        <charset val="1"/>
      </rPr>
      <t xml:space="preserve">DHA</t>
    </r>
    <r>
      <rPr>
        <sz val="11"/>
        <rFont val="Noto Sans CJK SC"/>
        <family val="2"/>
      </rPr>
      <t xml:space="preserve">중심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조류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</si>
  <si>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식물성 </t>
    </r>
    <r>
      <rPr>
        <sz val="11"/>
        <rFont val="Arial"/>
        <family val="0"/>
        <charset val="1"/>
      </rPr>
      <t xml:space="preserve">rTG=</t>
    </r>
    <r>
      <rPr>
        <sz val="11"/>
        <rFont val="Noto Sans CJK SC"/>
        <family val="2"/>
      </rPr>
      <t xml:space="preserve">미세조류 </t>
    </r>
    <r>
      <rPr>
        <sz val="11"/>
        <rFont val="Arial"/>
        <family val="0"/>
        <charset val="1"/>
      </rPr>
      <t xml:space="preserve">DHA(EPA </t>
    </r>
    <r>
      <rPr>
        <sz val="11"/>
        <rFont val="Noto Sans CJK SC"/>
        <family val="2"/>
      </rPr>
      <t xml:space="preserve">거의 없음</t>
    </r>
    <r>
      <rPr>
        <sz val="11"/>
        <rFont val="Arial"/>
        <family val="0"/>
        <charset val="1"/>
      </rPr>
      <t xml:space="preserve">)·</t>
    </r>
    <r>
      <rPr>
        <sz val="11"/>
        <rFont val="Noto Sans CJK SC"/>
        <family val="2"/>
      </rPr>
      <t xml:space="preserve">상한 부적용</t>
    </r>
    <r>
      <rPr>
        <sz val="11"/>
        <rFont val="Arial"/>
        <family val="0"/>
        <charset val="1"/>
      </rPr>
      <t xml:space="preserve">·DHA </t>
    </r>
    <r>
      <rPr>
        <sz val="11"/>
        <rFont val="Noto Sans CJK SC"/>
        <family val="2"/>
      </rPr>
      <t xml:space="preserve">편중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브랜드 식물성라인 순도</t>
    </r>
    <r>
      <rPr>
        <sz val="11"/>
        <rFont val="Arial"/>
        <family val="0"/>
        <charset val="1"/>
      </rPr>
      <t xml:space="preserve">~80%) (</t>
    </r>
    <r>
      <rPr>
        <sz val="11"/>
        <rFont val="Noto Sans CJK SC"/>
        <family val="2"/>
      </rPr>
      <t xml:space="preserve">소셜타임스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</si>
  <si>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klnix </t>
    </r>
    <r>
      <rPr>
        <sz val="11"/>
        <rFont val="Noto Sans CJK SC"/>
        <family val="2"/>
      </rPr>
      <t xml:space="preserve">클리닉스 </t>
    </r>
    <r>
      <rPr>
        <sz val="11"/>
        <rFont val="Arial"/>
        <family val="0"/>
        <charset val="1"/>
      </rPr>
      <t xml:space="preserve">MEGA-3A</t>
    </r>
  </si>
  <si>
    <r>
      <rPr>
        <sz val="11"/>
        <rFont val="Noto Sans CJK SC"/>
        <family val="2"/>
      </rPr>
      <t xml:space="preserve">병원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클리닉</t>
    </r>
  </si>
  <si>
    <r>
      <rPr>
        <sz val="11"/>
        <rFont val="Noto Sans CJK SC"/>
        <family val="2"/>
      </rPr>
      <t xml:space="preserve">병원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클리닉 채널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공개정보 적음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수집중</t>
    </r>
  </si>
  <si>
    <t xml:space="preserve">venefit omega3 plus</t>
  </si>
  <si>
    <r>
      <rPr>
        <sz val="11"/>
        <rFont val="Noto Sans CJK SC"/>
        <family val="2"/>
      </rPr>
      <t xml:space="preserve">병원 납품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공개정보 적음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수집중</t>
    </r>
  </si>
  <si>
    <t xml:space="preserve">스포츠리서치 트리플 스트렝스</t>
  </si>
  <si>
    <t xml:space="preserve">사람용</t>
  </si>
  <si>
    <r>
      <rPr>
        <sz val="11"/>
        <rFont val="Arial"/>
        <family val="0"/>
        <charset val="1"/>
      </rPr>
      <t xml:space="preserve">EPA+DHA 937/</t>
    </r>
    <r>
      <rPr>
        <sz val="11"/>
        <rFont val="Noto Sans CJK SC"/>
        <family val="2"/>
      </rPr>
      <t xml:space="preserve">캡슐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순도</t>
    </r>
    <r>
      <rPr>
        <sz val="11"/>
        <rFont val="Arial"/>
        <family val="0"/>
        <charset val="1"/>
      </rPr>
      <t xml:space="preserve">~75%·AlaskaOmega·IFOS·</t>
    </r>
    <r>
      <rPr>
        <sz val="11"/>
        <rFont val="Noto Sans CJK SC"/>
        <family val="2"/>
      </rPr>
      <t xml:space="preserve">병포장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필라이즈</t>
    </r>
    <r>
      <rPr>
        <sz val="11"/>
        <rFont val="Arial"/>
        <family val="0"/>
        <charset val="1"/>
      </rPr>
      <t xml:space="preserve">)</t>
    </r>
  </si>
  <si>
    <t xml:space="preserve">종근당 프로메가 알티지 듀얼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</si>
  <si>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캡슐 </t>
    </r>
    <r>
      <rPr>
        <sz val="11"/>
        <rFont val="Arial"/>
        <family val="0"/>
        <charset val="1"/>
      </rPr>
      <t xml:space="preserve">EPA+DHA 300mg·rTG·AlaskaOmega·</t>
    </r>
    <r>
      <rPr>
        <sz val="11"/>
        <rFont val="Noto Sans CJK SC"/>
        <family val="2"/>
      </rPr>
      <t xml:space="preserve">비타민</t>
    </r>
    <r>
      <rPr>
        <sz val="11"/>
        <rFont val="Arial"/>
        <family val="0"/>
        <charset val="1"/>
      </rPr>
      <t xml:space="preserve">D (</t>
    </r>
    <r>
      <rPr>
        <sz val="11"/>
        <rFont val="Noto Sans CJK SC"/>
        <family val="2"/>
      </rPr>
      <t xml:space="preserve">소셜타임스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필라이즈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</si>
  <si>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트루엔 알티지 오메가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</si>
  <si>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Arial"/>
        <family val="0"/>
        <charset val="1"/>
      </rPr>
      <t xml:space="preserve">rTG·</t>
    </r>
    <r>
      <rPr>
        <sz val="11"/>
        <rFont val="Noto Sans CJK SC"/>
        <family val="2"/>
      </rPr>
      <t xml:space="preserve">스펙 수집중</t>
    </r>
  </si>
  <si>
    <r>
      <rPr>
        <sz val="11"/>
        <rFont val="Noto Sans CJK SC"/>
        <family val="2"/>
      </rPr>
      <t xml:space="preserve">닥터닥터스 알티지 </t>
    </r>
    <r>
      <rPr>
        <sz val="11"/>
        <rFont val="Arial"/>
        <family val="0"/>
        <charset val="1"/>
      </rPr>
      <t xml:space="preserve">rTG 1200</t>
    </r>
  </si>
  <si>
    <r>
      <rPr>
        <sz val="11"/>
        <rFont val="Arial"/>
        <family val="0"/>
        <charset val="1"/>
      </rPr>
      <t xml:space="preserve">IFOS 5STAR·</t>
    </r>
    <r>
      <rPr>
        <sz val="11"/>
        <rFont val="Noto Sans CJK SC"/>
        <family val="2"/>
      </rPr>
      <t xml:space="preserve">멸치</t>
    </r>
    <r>
      <rPr>
        <sz val="11"/>
        <rFont val="Arial"/>
        <family val="0"/>
        <charset val="1"/>
      </rPr>
      <t xml:space="preserve">·rTG·</t>
    </r>
    <r>
      <rPr>
        <sz val="11"/>
        <rFont val="Noto Sans CJK SC"/>
        <family val="2"/>
      </rPr>
      <t xml:space="preserve">표시</t>
    </r>
    <r>
      <rPr>
        <sz val="11"/>
        <rFont val="Arial"/>
        <family val="0"/>
        <charset val="1"/>
      </rPr>
      <t xml:space="preserve">1200mg(EPA+DHA </t>
    </r>
    <r>
      <rPr>
        <sz val="11"/>
        <rFont val="Noto Sans CJK SC"/>
        <family val="2"/>
      </rPr>
      <t xml:space="preserve">확인필요</t>
    </r>
    <r>
      <rPr>
        <sz val="11"/>
        <rFont val="Arial"/>
        <family val="0"/>
        <charset val="1"/>
      </rPr>
      <t xml:space="preserve">) (11</t>
    </r>
    <r>
      <rPr>
        <sz val="11"/>
        <rFont val="Noto Sans CJK SC"/>
        <family val="2"/>
      </rPr>
      <t xml:space="preserve">번가</t>
    </r>
    <r>
      <rPr>
        <sz val="11"/>
        <rFont val="Arial"/>
        <family val="0"/>
        <charset val="1"/>
      </rPr>
      <t xml:space="preserve">)</t>
    </r>
  </si>
  <si>
    <t xml:space="preserve">위타민 알티지</t>
  </si>
  <si>
    <r>
      <rPr>
        <sz val="11"/>
        <rFont val="Noto Sans CJK SC"/>
        <family val="2"/>
      </rPr>
      <t xml:space="preserve">완제품 </t>
    </r>
    <r>
      <rPr>
        <sz val="11"/>
        <rFont val="Arial"/>
        <family val="0"/>
        <charset val="1"/>
      </rPr>
      <t xml:space="preserve">IFOS·EPA+DHA 980mg·rTG (</t>
    </r>
    <r>
      <rPr>
        <sz val="11"/>
        <rFont val="Noto Sans CJK SC"/>
        <family val="2"/>
      </rPr>
      <t xml:space="preserve">위타민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</si>
  <si>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캘리포니아골드 뉴트리션 오메가</t>
    </r>
    <r>
      <rPr>
        <sz val="11"/>
        <rFont val="Arial"/>
        <family val="0"/>
        <charset val="1"/>
      </rPr>
      <t xml:space="preserve">3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</si>
  <si>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캡슐 </t>
    </r>
    <r>
      <rPr>
        <sz val="11"/>
        <rFont val="Arial"/>
        <family val="0"/>
        <charset val="1"/>
      </rPr>
      <t xml:space="preserve">EPA180+DHA120=300mg(</t>
    </r>
    <r>
      <rPr>
        <sz val="11"/>
        <rFont val="Noto Sans CJK SC"/>
        <family val="2"/>
      </rPr>
      <t xml:space="preserve">총</t>
    </r>
    <r>
      <rPr>
        <sz val="11"/>
        <rFont val="Arial"/>
        <family val="0"/>
        <charset val="1"/>
      </rPr>
      <t xml:space="preserve">500mg·</t>
    </r>
    <r>
      <rPr>
        <sz val="11"/>
        <rFont val="Noto Sans CJK SC"/>
        <family val="2"/>
      </rPr>
      <t xml:space="preserve">순도</t>
    </r>
    <r>
      <rPr>
        <sz val="11"/>
        <rFont val="Arial"/>
        <family val="0"/>
        <charset val="1"/>
      </rPr>
      <t xml:space="preserve">60%)·</t>
    </r>
    <r>
      <rPr>
        <sz val="11"/>
        <rFont val="Noto Sans CJK SC"/>
        <family val="2"/>
      </rPr>
      <t xml:space="preserve">멸치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고등어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정어리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참치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농축</t>
    </r>
    <r>
      <rPr>
        <sz val="11"/>
        <rFont val="Arial"/>
        <family val="0"/>
        <charset val="1"/>
      </rPr>
      <t xml:space="preserve">TG·</t>
    </r>
    <r>
      <rPr>
        <sz val="11"/>
        <rFont val="Noto Sans CJK SC"/>
        <family val="2"/>
      </rPr>
      <t xml:space="preserve">비타민</t>
    </r>
    <r>
      <rPr>
        <sz val="11"/>
        <rFont val="Arial"/>
        <family val="0"/>
        <charset val="1"/>
      </rPr>
      <t xml:space="preserve">E·</t>
    </r>
    <r>
      <rPr>
        <sz val="11"/>
        <rFont val="Noto Sans CJK SC"/>
        <family val="2"/>
      </rPr>
      <t xml:space="preserve">중금속</t>
    </r>
    <r>
      <rPr>
        <sz val="11"/>
        <rFont val="Arial"/>
        <family val="0"/>
        <charset val="1"/>
      </rPr>
      <t xml:space="preserve">/PCB</t>
    </r>
    <r>
      <rPr>
        <sz val="11"/>
        <rFont val="Noto Sans CJK SC"/>
        <family val="2"/>
      </rPr>
      <t xml:space="preserve">시험 </t>
    </r>
    <r>
      <rPr>
        <sz val="11"/>
        <rFont val="Arial"/>
        <family val="0"/>
        <charset val="1"/>
      </rPr>
      <t xml:space="preserve">(iHerb)</t>
    </r>
  </si>
  <si>
    <r>
      <rPr>
        <sz val="11"/>
        <rFont val="Noto Sans CJK SC"/>
        <family val="2"/>
      </rPr>
      <t xml:space="preserve">담백하루 초임계 알티지 </t>
    </r>
    <r>
      <rPr>
        <sz val="11"/>
        <rFont val="Arial"/>
        <family val="0"/>
        <charset val="1"/>
      </rPr>
      <t xml:space="preserve">1000</t>
    </r>
  </si>
  <si>
    <r>
      <rPr>
        <sz val="11"/>
        <rFont val="Noto Sans CJK SC"/>
        <family val="2"/>
      </rPr>
      <t xml:space="preserve">초임계 </t>
    </r>
    <r>
      <rPr>
        <sz val="11"/>
        <rFont val="Arial"/>
        <family val="0"/>
        <charset val="1"/>
      </rPr>
      <t xml:space="preserve">rTG·</t>
    </r>
    <r>
      <rPr>
        <sz val="11"/>
        <rFont val="Noto Sans CJK SC"/>
        <family val="2"/>
      </rPr>
      <t xml:space="preserve">스펙 수집중</t>
    </r>
  </si>
  <si>
    <t xml:space="preserve">고려은단 식물성 퓨어 알티지</t>
  </si>
  <si>
    <r>
      <rPr>
        <sz val="11"/>
        <rFont val="Noto Sans CJK SC"/>
        <family val="2"/>
      </rPr>
      <t xml:space="preserve">사람용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식물성</t>
    </r>
  </si>
  <si>
    <r>
      <rPr>
        <sz val="11"/>
        <rFont val="Noto Sans CJK SC"/>
        <family val="2"/>
      </rPr>
      <t xml:space="preserve">배양 미세조류 유래 </t>
    </r>
    <r>
      <rPr>
        <sz val="11"/>
        <rFont val="Arial"/>
        <family val="0"/>
        <charset val="1"/>
      </rPr>
      <t xml:space="preserve">EPA/DHA=</t>
    </r>
    <r>
      <rPr>
        <sz val="11"/>
        <rFont val="Noto Sans CJK SC"/>
        <family val="2"/>
      </rPr>
      <t xml:space="preserve">고양이 사용 가능</t>
    </r>
    <r>
      <rPr>
        <sz val="11"/>
        <rFont val="Arial"/>
        <family val="0"/>
        <charset val="1"/>
      </rPr>
      <t xml:space="preserve">·DHA </t>
    </r>
    <r>
      <rPr>
        <sz val="11"/>
        <rFont val="Noto Sans CJK SC"/>
        <family val="2"/>
      </rPr>
      <t xml:space="preserve">편중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상한 부적용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소셜타임스</t>
    </r>
    <r>
      <rPr>
        <sz val="11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</si>
</sst>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i val="true"/>
      <sz val="11"/>
      <name val="Noto Sans CJK SC"/>
      <family val="2"/>
    </font>
    <font>
      <i val="true"/>
      <sz val="11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6B470"/>
        <bgColor rgb="FF008080"/>
      </patternFill>
    </fill>
    <fill>
      <patternFill patternType="solid">
        <fgColor rgb="FFEA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7F0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6B47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8"/>
  </cols>
  <sheetData>
    <row r="1" customFormat="false" ht="20.1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B4" s="4" t="s">
        <v>3</v>
      </c>
      <c r="C4" s="4" t="n">
        <v>5</v>
      </c>
    </row>
    <row r="5" customFormat="false" ht="15" hidden="false" customHeight="false" outlineLevel="0" collapsed="false">
      <c r="B5" s="4" t="s">
        <v>4</v>
      </c>
      <c r="C5" s="4" t="n">
        <v>2</v>
      </c>
    </row>
    <row r="6" customFormat="false" ht="15" hidden="false" customHeight="false" outlineLevel="0" collapsed="false">
      <c r="B6" s="4" t="s">
        <v>5</v>
      </c>
      <c r="C6" s="4" t="n">
        <v>0</v>
      </c>
    </row>
    <row r="7" customFormat="false" ht="15" hidden="false" customHeight="false" outlineLevel="0" collapsed="false">
      <c r="B7" s="4" t="s">
        <v>6</v>
      </c>
      <c r="C7" s="4" t="n">
        <v>0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5" t="s">
        <v>8</v>
      </c>
      <c r="C10" s="4" t="n">
        <v>10</v>
      </c>
    </row>
    <row r="11" customFormat="false" ht="15" hidden="false" customHeight="false" outlineLevel="0" collapsed="false">
      <c r="B11" s="5" t="s">
        <v>9</v>
      </c>
      <c r="C11" s="4" t="n">
        <v>10</v>
      </c>
    </row>
    <row r="12" customFormat="false" ht="15" hidden="false" customHeight="false" outlineLevel="0" collapsed="false">
      <c r="B12" s="5" t="s">
        <v>10</v>
      </c>
      <c r="C12" s="4" t="n">
        <v>5</v>
      </c>
    </row>
    <row r="13" customFormat="false" ht="15" hidden="false" customHeight="false" outlineLevel="0" collapsed="false">
      <c r="B13" s="4" t="s">
        <v>6</v>
      </c>
      <c r="C13" s="4" t="n">
        <v>5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  <c r="C16" s="4" t="n">
        <v>10</v>
      </c>
    </row>
    <row r="17" customFormat="false" ht="15" hidden="false" customHeight="false" outlineLevel="0" collapsed="false">
      <c r="B17" s="4" t="s">
        <v>13</v>
      </c>
      <c r="C17" s="4" t="n">
        <v>6</v>
      </c>
    </row>
    <row r="18" customFormat="false" ht="15" hidden="false" customHeight="false" outlineLevel="0" collapsed="false">
      <c r="B18" s="4" t="s">
        <v>14</v>
      </c>
      <c r="C18" s="4" t="n">
        <v>0</v>
      </c>
    </row>
    <row r="19" customFormat="false" ht="15" hidden="false" customHeight="false" outlineLevel="0" collapsed="false">
      <c r="B19" s="4" t="s">
        <v>15</v>
      </c>
      <c r="C19" s="4" t="n">
        <v>8</v>
      </c>
    </row>
    <row r="20" customFormat="false" ht="15" hidden="false" customHeight="false" outlineLevel="0" collapsed="false">
      <c r="B20" s="4" t="s">
        <v>6</v>
      </c>
      <c r="C20" s="4" t="n">
        <v>3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4" t="s">
        <v>17</v>
      </c>
      <c r="C22" s="4" t="n">
        <v>10</v>
      </c>
    </row>
    <row r="23" customFormat="false" ht="15" hidden="false" customHeight="false" outlineLevel="0" collapsed="false">
      <c r="B23" s="4" t="s">
        <v>18</v>
      </c>
      <c r="C23" s="4" t="n">
        <v>0</v>
      </c>
    </row>
    <row r="24" customFormat="false" ht="15" hidden="false" customHeight="false" outlineLevel="0" collapsed="false">
      <c r="B24" s="4" t="s">
        <v>6</v>
      </c>
      <c r="C24" s="4" t="n">
        <v>0</v>
      </c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4" t="s">
        <v>20</v>
      </c>
      <c r="C27" s="4" t="n">
        <v>10</v>
      </c>
    </row>
    <row r="28" customFormat="false" ht="15" hidden="false" customHeight="false" outlineLevel="0" collapsed="false">
      <c r="B28" s="4" t="s">
        <v>21</v>
      </c>
      <c r="C28" s="4" t="n">
        <v>5</v>
      </c>
    </row>
    <row r="29" customFormat="false" ht="15" hidden="false" customHeight="false" outlineLevel="0" collapsed="false">
      <c r="B29" s="4" t="s">
        <v>22</v>
      </c>
      <c r="C29" s="4" t="n">
        <v>0</v>
      </c>
    </row>
    <row r="30" customFormat="false" ht="15" hidden="false" customHeight="false" outlineLevel="0" collapsed="false">
      <c r="B30" s="4" t="s">
        <v>6</v>
      </c>
      <c r="C30" s="4" t="n">
        <v>0</v>
      </c>
    </row>
    <row r="32" customFormat="false" ht="15" hidden="false" customHeight="false" outlineLevel="0" collapsed="false">
      <c r="B32" s="3" t="s">
        <v>23</v>
      </c>
    </row>
    <row r="33" customFormat="false" ht="15" hidden="false" customHeight="false" outlineLevel="0" collapsed="false">
      <c r="B33" s="4" t="s">
        <v>24</v>
      </c>
      <c r="C33" s="4" t="n">
        <v>10</v>
      </c>
    </row>
    <row r="34" customFormat="false" ht="15" hidden="false" customHeight="false" outlineLevel="0" collapsed="false">
      <c r="B34" s="4" t="s">
        <v>25</v>
      </c>
      <c r="C34" s="4" t="n">
        <v>10</v>
      </c>
    </row>
    <row r="35" customFormat="false" ht="15" hidden="false" customHeight="false" outlineLevel="0" collapsed="false">
      <c r="B35" s="4" t="s">
        <v>26</v>
      </c>
      <c r="C35" s="4" t="n">
        <v>6</v>
      </c>
    </row>
    <row r="36" customFormat="false" ht="15" hidden="false" customHeight="false" outlineLevel="0" collapsed="false">
      <c r="B36" s="4" t="s">
        <v>27</v>
      </c>
      <c r="C36" s="4" t="n">
        <v>6</v>
      </c>
    </row>
    <row r="37" customFormat="false" ht="15" hidden="false" customHeight="false" outlineLevel="0" collapsed="false">
      <c r="B37" s="4" t="s">
        <v>28</v>
      </c>
      <c r="C37" s="4" t="n">
        <v>6</v>
      </c>
    </row>
    <row r="38" customFormat="false" ht="15" hidden="false" customHeight="false" outlineLevel="0" collapsed="false">
      <c r="B38" s="4" t="s">
        <v>29</v>
      </c>
      <c r="C38" s="4" t="n">
        <v>2</v>
      </c>
    </row>
    <row r="39" customFormat="false" ht="15" hidden="false" customHeight="false" outlineLevel="0" collapsed="false">
      <c r="B39" s="4" t="s">
        <v>6</v>
      </c>
      <c r="C39" s="4" t="n">
        <v>0</v>
      </c>
    </row>
    <row r="41" customFormat="false" ht="15" hidden="false" customHeight="false" outlineLevel="0" collapsed="false">
      <c r="B41" s="3" t="s">
        <v>30</v>
      </c>
    </row>
    <row r="42" customFormat="false" ht="15" hidden="false" customHeight="false" outlineLevel="0" collapsed="false">
      <c r="B42" s="4" t="s">
        <v>17</v>
      </c>
      <c r="C42" s="4" t="n">
        <v>5</v>
      </c>
    </row>
    <row r="43" customFormat="false" ht="15" hidden="false" customHeight="false" outlineLevel="0" collapsed="false">
      <c r="B43" s="4" t="s">
        <v>18</v>
      </c>
      <c r="C43" s="4" t="n">
        <v>0</v>
      </c>
    </row>
    <row r="44" customFormat="false" ht="15" hidden="false" customHeight="false" outlineLevel="0" collapsed="false">
      <c r="B44" s="4" t="s">
        <v>6</v>
      </c>
      <c r="C44" s="4" t="n">
        <v>0</v>
      </c>
    </row>
    <row r="46" customFormat="false" ht="15" hidden="false" customHeight="false" outlineLevel="0" collapsed="false">
      <c r="B46" s="6" t="s">
        <v>31</v>
      </c>
    </row>
    <row r="47" customFormat="false" ht="15" hidden="false" customHeight="false" outlineLevel="0" collapsed="false">
      <c r="B47" s="4" t="s">
        <v>32</v>
      </c>
      <c r="C47" s="4" t="n">
        <v>6</v>
      </c>
    </row>
    <row r="48" customFormat="false" ht="15" hidden="false" customHeight="false" outlineLevel="0" collapsed="false">
      <c r="B48" s="4" t="s">
        <v>4</v>
      </c>
      <c r="C48" s="4" t="n">
        <v>3</v>
      </c>
    </row>
    <row r="49" customFormat="false" ht="15" hidden="false" customHeight="false" outlineLevel="0" collapsed="false">
      <c r="B49" s="4" t="s">
        <v>18</v>
      </c>
      <c r="C49" s="4" t="n">
        <v>0</v>
      </c>
    </row>
    <row r="50" customFormat="false" ht="15" hidden="false" customHeight="false" outlineLevel="0" collapsed="false">
      <c r="B50" s="4" t="s">
        <v>6</v>
      </c>
      <c r="C50" s="4" t="n">
        <v>0</v>
      </c>
    </row>
    <row r="52" customFormat="false" ht="15" hidden="false" customHeight="false" outlineLevel="0" collapsed="false">
      <c r="B52" s="3" t="s">
        <v>33</v>
      </c>
    </row>
    <row r="53" customFormat="false" ht="15" hidden="false" customHeight="false" outlineLevel="0" collapsed="false">
      <c r="B53" s="4" t="s">
        <v>3</v>
      </c>
      <c r="C53" s="4" t="n">
        <v>4</v>
      </c>
    </row>
    <row r="54" customFormat="false" ht="15" hidden="false" customHeight="false" outlineLevel="0" collapsed="false">
      <c r="B54" s="4" t="s">
        <v>4</v>
      </c>
      <c r="C54" s="4" t="n">
        <v>2</v>
      </c>
    </row>
    <row r="55" customFormat="false" ht="15" hidden="false" customHeight="false" outlineLevel="0" collapsed="false">
      <c r="B55" s="4" t="s">
        <v>18</v>
      </c>
      <c r="C55" s="4" t="n">
        <v>0</v>
      </c>
    </row>
    <row r="56" customFormat="false" ht="15" hidden="false" customHeight="false" outlineLevel="0" collapsed="false">
      <c r="B56" s="4" t="s">
        <v>6</v>
      </c>
      <c r="C56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7"/>
    <col collapsed="false" customWidth="true" hidden="false" outlineLevel="0" max="15" min="14" style="0" width="8"/>
    <col collapsed="false" customWidth="true" hidden="false" outlineLevel="0" max="16" min="16" style="0" width="6"/>
    <col collapsed="false" customWidth="true" hidden="false" outlineLevel="0" max="17" min="17" style="0" width="10"/>
    <col collapsed="false" customWidth="true" hidden="false" outlineLevel="0" max="19" min="18" style="0" width="8"/>
    <col collapsed="false" customWidth="true" hidden="false" outlineLevel="0" max="20" min="20" style="0" width="11"/>
    <col collapsed="false" customWidth="true" hidden="false" outlineLevel="0" max="21" min="21" style="0" width="10"/>
    <col collapsed="false" customWidth="true" hidden="false" outlineLevel="0" max="22" min="22" style="0" width="7"/>
    <col collapsed="false" customWidth="true" hidden="false" outlineLevel="0" max="25" min="23" style="0" width="9"/>
    <col collapsed="false" customWidth="true" hidden="false" outlineLevel="0" max="26" min="26" style="0" width="11"/>
    <col collapsed="false" customWidth="true" hidden="false" outlineLevel="0" max="27" min="27" style="0" width="9"/>
    <col collapsed="false" customWidth="true" hidden="false" outlineLevel="0" max="28" min="28" style="0" width="11"/>
    <col collapsed="false" customWidth="true" hidden="false" outlineLevel="0" max="29" min="29" style="0" width="44"/>
  </cols>
  <sheetData>
    <row r="1" customFormat="false" ht="42" hidden="false" customHeight="tru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2</v>
      </c>
      <c r="G1" s="7" t="s">
        <v>7</v>
      </c>
      <c r="H1" s="7" t="s">
        <v>11</v>
      </c>
      <c r="I1" s="7" t="s">
        <v>16</v>
      </c>
      <c r="J1" s="7" t="s">
        <v>19</v>
      </c>
      <c r="K1" s="7" t="s">
        <v>23</v>
      </c>
      <c r="L1" s="7" t="s">
        <v>30</v>
      </c>
      <c r="M1" s="8" t="s">
        <v>31</v>
      </c>
      <c r="N1" s="7" t="s">
        <v>33</v>
      </c>
      <c r="O1" s="7" t="s">
        <v>39</v>
      </c>
      <c r="P1" s="7" t="s">
        <v>40</v>
      </c>
      <c r="Q1" s="7" t="s">
        <v>41</v>
      </c>
      <c r="R1" s="7" t="s">
        <v>42</v>
      </c>
      <c r="S1" s="7" t="s">
        <v>43</v>
      </c>
      <c r="T1" s="7" t="s">
        <v>44</v>
      </c>
      <c r="U1" s="7" t="s">
        <v>45</v>
      </c>
      <c r="V1" s="7" t="s">
        <v>46</v>
      </c>
      <c r="W1" s="7" t="s">
        <v>47</v>
      </c>
      <c r="X1" s="7" t="s">
        <v>48</v>
      </c>
      <c r="Y1" s="7" t="s">
        <v>49</v>
      </c>
      <c r="Z1" s="7" t="s">
        <v>50</v>
      </c>
      <c r="AA1" s="7" t="s">
        <v>51</v>
      </c>
      <c r="AB1" s="7" t="s">
        <v>52</v>
      </c>
      <c r="AC1" s="7" t="s">
        <v>53</v>
      </c>
    </row>
    <row r="2" customFormat="false" ht="17.15" hidden="false" customHeight="false" outlineLevel="0" collapsed="false">
      <c r="A2" s="9" t="n">
        <v>1</v>
      </c>
      <c r="B2" s="10" t="s">
        <v>54</v>
      </c>
      <c r="C2" s="10" t="s">
        <v>55</v>
      </c>
      <c r="D2" s="11" t="n">
        <v>200</v>
      </c>
      <c r="E2" s="11" t="n">
        <v>80</v>
      </c>
      <c r="F2" s="12" t="s">
        <v>3</v>
      </c>
      <c r="G2" s="11" t="s">
        <v>8</v>
      </c>
      <c r="H2" s="12" t="s">
        <v>12</v>
      </c>
      <c r="I2" s="12" t="s">
        <v>17</v>
      </c>
      <c r="J2" s="12" t="s">
        <v>20</v>
      </c>
      <c r="K2" s="12" t="s">
        <v>24</v>
      </c>
      <c r="L2" s="12" t="s">
        <v>17</v>
      </c>
      <c r="M2" s="12" t="s">
        <v>32</v>
      </c>
      <c r="N2" s="12" t="s">
        <v>3</v>
      </c>
      <c r="O2" s="11" t="s">
        <v>56</v>
      </c>
      <c r="P2" s="11" t="s">
        <v>56</v>
      </c>
      <c r="Q2" s="11" t="s">
        <v>56</v>
      </c>
      <c r="R2" s="13" t="n">
        <f aca="false">IF(NOT(ISNUMBER(D2)),0,IF(D2&gt;=300,20,IF(D2&gt;=200,15,IF(D2&gt;=100,10,5))))+IF(NOT(ISNUMBER(E2)),0,IF(E2&gt;=60,10,IF(E2&gt;=40,6,3)))+IFERROR(VLOOKUP(F2,기준!$B$4:$C$7,2,FALSE()),0)</f>
        <v>30</v>
      </c>
      <c r="S2" s="13" t="n">
        <f aca="false">IFERROR(VLOOKUP(I2,기준!$B$22:$C$24,2,FALSE()),0)+IFERROR(VLOOKUP(J2,기준!$B$27:$C$30,2,FALSE()),0)+IFERROR(VLOOKUP(K2,기준!$B$33:$C$39,2,FALSE()),0)</f>
        <v>30</v>
      </c>
      <c r="T2" s="13" t="n">
        <f aca="false">IFERROR(VLOOKUP(G2,기준!$B$10:$C$13,2,FALSE()),0)+IFERROR(VLOOKUP(H2,기준!$B$16:$C$20,2,FALSE()),0)</f>
        <v>20</v>
      </c>
      <c r="U2" s="13" t="n">
        <f aca="false">IFERROR(VLOOKUP(L2,기준!$B$42:$C$44,2,FALSE()),0)+IFERROR(VLOOKUP(M2,기준!$B$47:$C$50,2,FALSE()),0)+IFERROR(VLOOKUP(N2,기준!$B$53:$C$56,2,FALSE()),0)</f>
        <v>15</v>
      </c>
      <c r="V2" s="13" t="n">
        <f aca="false">SUM(R2:U2)</f>
        <v>95</v>
      </c>
      <c r="W2" s="13" t="n">
        <f aca="false">MIN(IF(O2="Y",20,100),IF(P2="Y",40,100),IF(Q2="Y",50,100))</f>
        <v>100</v>
      </c>
      <c r="X2" s="13" t="n">
        <f aca="false">MIN(V2,W2)</f>
        <v>95</v>
      </c>
      <c r="Y2" s="13" t="n">
        <f aca="false">RANK(X2,$X$2:$X$34,0)</f>
        <v>2</v>
      </c>
      <c r="Z2" s="12" t="s">
        <v>57</v>
      </c>
      <c r="AA2" s="12" t="s">
        <v>58</v>
      </c>
      <c r="AB2" s="10" t="str">
        <f aca="false">(IF(ISNUMBER(D2),1,0)+IF(ISNUMBER(E2),1,0)+IF(F2&lt;&gt;"미상",1,0)+IF(G2&lt;&gt;"미상",1,0)+IF(H2&lt;&gt;"미상",1,0)+IF(I2&lt;&gt;"미상",1,0)+IF(J2&lt;&gt;"미상",1,0)+IF(K2&lt;&gt;"미상",1,0)+IF(L2&lt;&gt;"미상",1,0)+IF(M2&lt;&gt;"미상",1,0)+IF(N2&lt;&gt;"미상",1,0))&amp;"/11"</f>
        <v>11/11</v>
      </c>
      <c r="AC2" s="9" t="s">
        <v>59</v>
      </c>
    </row>
    <row r="3" customFormat="false" ht="17.15" hidden="false" customHeight="false" outlineLevel="0" collapsed="false">
      <c r="A3" s="10" t="n">
        <v>2</v>
      </c>
      <c r="B3" s="10" t="s">
        <v>60</v>
      </c>
      <c r="C3" s="10" t="s">
        <v>55</v>
      </c>
      <c r="D3" s="12"/>
      <c r="E3" s="12" t="n">
        <v>80</v>
      </c>
      <c r="F3" s="12" t="s">
        <v>6</v>
      </c>
      <c r="G3" s="11" t="s">
        <v>8</v>
      </c>
      <c r="H3" s="12" t="s">
        <v>6</v>
      </c>
      <c r="I3" s="12" t="s">
        <v>6</v>
      </c>
      <c r="J3" s="12" t="s">
        <v>6</v>
      </c>
      <c r="K3" s="12" t="s">
        <v>24</v>
      </c>
      <c r="L3" s="12" t="s">
        <v>17</v>
      </c>
      <c r="M3" s="12" t="s">
        <v>4</v>
      </c>
      <c r="N3" s="12" t="s">
        <v>3</v>
      </c>
      <c r="O3" s="11" t="s">
        <v>56</v>
      </c>
      <c r="P3" s="11" t="s">
        <v>56</v>
      </c>
      <c r="Q3" s="11" t="s">
        <v>56</v>
      </c>
      <c r="R3" s="13" t="n">
        <f aca="false">IF(NOT(ISNUMBER(D3)),0,IF(D3&gt;=300,20,IF(D3&gt;=200,15,IF(D3&gt;=100,10,5))))+IF(NOT(ISNUMBER(E3)),0,IF(E3&gt;=60,10,IF(E3&gt;=40,6,3)))+IFERROR(VLOOKUP(F3,기준!$B$4:$C$7,2,FALSE()),0)</f>
        <v>10</v>
      </c>
      <c r="S3" s="13" t="n">
        <f aca="false">IFERROR(VLOOKUP(I3,기준!$B$22:$C$24,2,FALSE()),0)+IFERROR(VLOOKUP(J3,기준!$B$27:$C$30,2,FALSE()),0)+IFERROR(VLOOKUP(K3,기준!$B$33:$C$39,2,FALSE()),0)</f>
        <v>10</v>
      </c>
      <c r="T3" s="13" t="n">
        <f aca="false">IFERROR(VLOOKUP(G3,기준!$B$10:$C$13,2,FALSE()),0)+IFERROR(VLOOKUP(H3,기준!$B$16:$C$20,2,FALSE()),0)</f>
        <v>13</v>
      </c>
      <c r="U3" s="13" t="n">
        <f aca="false">IFERROR(VLOOKUP(L3,기준!$B$42:$C$44,2,FALSE()),0)+IFERROR(VLOOKUP(M3,기준!$B$47:$C$50,2,FALSE()),0)+IFERROR(VLOOKUP(N3,기준!$B$53:$C$56,2,FALSE()),0)</f>
        <v>12</v>
      </c>
      <c r="V3" s="13" t="n">
        <f aca="false">SUM(R3:U3)</f>
        <v>45</v>
      </c>
      <c r="W3" s="13" t="n">
        <f aca="false">MIN(IF(O3="Y",20,100),IF(P3="Y",40,100),IF(Q3="Y",50,100))</f>
        <v>100</v>
      </c>
      <c r="X3" s="13" t="n">
        <f aca="false">MIN(V3,W3)</f>
        <v>45</v>
      </c>
      <c r="Y3" s="13" t="n">
        <f aca="false">RANK(X3,$X$2:$X$34,0)</f>
        <v>10</v>
      </c>
      <c r="Z3" s="12" t="s">
        <v>57</v>
      </c>
      <c r="AA3" s="12" t="s">
        <v>61</v>
      </c>
      <c r="AB3" s="10" t="str">
        <f aca="false">(IF(ISNUMBER(D3),1,0)+IF(ISNUMBER(E3),1,0)+IF(F3&lt;&gt;"미상",1,0)+IF(G3&lt;&gt;"미상",1,0)+IF(H3&lt;&gt;"미상",1,0)+IF(I3&lt;&gt;"미상",1,0)+IF(J3&lt;&gt;"미상",1,0)+IF(K3&lt;&gt;"미상",1,0)+IF(L3&lt;&gt;"미상",1,0)+IF(M3&lt;&gt;"미상",1,0)+IF(N3&lt;&gt;"미상",1,0))&amp;"/11"</f>
        <v>6/11</v>
      </c>
      <c r="AC3" s="9" t="s">
        <v>62</v>
      </c>
    </row>
    <row r="4" customFormat="false" ht="17.15" hidden="false" customHeight="false" outlineLevel="0" collapsed="false">
      <c r="A4" s="10" t="n">
        <v>3</v>
      </c>
      <c r="B4" s="10" t="s">
        <v>63</v>
      </c>
      <c r="C4" s="10" t="s">
        <v>55</v>
      </c>
      <c r="D4" s="12" t="n">
        <v>110</v>
      </c>
      <c r="E4" s="12" t="n">
        <v>80</v>
      </c>
      <c r="F4" s="12" t="s">
        <v>3</v>
      </c>
      <c r="G4" s="11" t="s">
        <v>8</v>
      </c>
      <c r="H4" s="12" t="s">
        <v>12</v>
      </c>
      <c r="I4" s="12" t="s">
        <v>17</v>
      </c>
      <c r="J4" s="12" t="s">
        <v>20</v>
      </c>
      <c r="K4" s="12" t="s">
        <v>24</v>
      </c>
      <c r="L4" s="12" t="s">
        <v>17</v>
      </c>
      <c r="M4" s="12" t="s">
        <v>32</v>
      </c>
      <c r="N4" s="12" t="s">
        <v>3</v>
      </c>
      <c r="O4" s="11" t="s">
        <v>56</v>
      </c>
      <c r="P4" s="11" t="s">
        <v>56</v>
      </c>
      <c r="Q4" s="11" t="s">
        <v>56</v>
      </c>
      <c r="R4" s="13" t="n">
        <f aca="false">IF(NOT(ISNUMBER(D4)),0,IF(D4&gt;=300,20,IF(D4&gt;=200,15,IF(D4&gt;=100,10,5))))+IF(NOT(ISNUMBER(E4)),0,IF(E4&gt;=60,10,IF(E4&gt;=40,6,3)))+IFERROR(VLOOKUP(F4,기준!$B$4:$C$7,2,FALSE()),0)</f>
        <v>25</v>
      </c>
      <c r="S4" s="13" t="n">
        <f aca="false">IFERROR(VLOOKUP(I4,기준!$B$22:$C$24,2,FALSE()),0)+IFERROR(VLOOKUP(J4,기준!$B$27:$C$30,2,FALSE()),0)+IFERROR(VLOOKUP(K4,기준!$B$33:$C$39,2,FALSE()),0)</f>
        <v>30</v>
      </c>
      <c r="T4" s="13" t="n">
        <f aca="false">IFERROR(VLOOKUP(G4,기준!$B$10:$C$13,2,FALSE()),0)+IFERROR(VLOOKUP(H4,기준!$B$16:$C$20,2,FALSE()),0)</f>
        <v>20</v>
      </c>
      <c r="U4" s="13" t="n">
        <f aca="false">IFERROR(VLOOKUP(L4,기준!$B$42:$C$44,2,FALSE()),0)+IFERROR(VLOOKUP(M4,기준!$B$47:$C$50,2,FALSE()),0)+IFERROR(VLOOKUP(N4,기준!$B$53:$C$56,2,FALSE()),0)</f>
        <v>15</v>
      </c>
      <c r="V4" s="13" t="n">
        <f aca="false">SUM(R4:U4)</f>
        <v>90</v>
      </c>
      <c r="W4" s="13" t="n">
        <f aca="false">MIN(IF(O4="Y",20,100),IF(P4="Y",40,100),IF(Q4="Y",50,100))</f>
        <v>100</v>
      </c>
      <c r="X4" s="13" t="n">
        <f aca="false">MIN(V4,W4)</f>
        <v>90</v>
      </c>
      <c r="Y4" s="13" t="n">
        <f aca="false">RANK(X4,$X$2:$X$34,0)</f>
        <v>3</v>
      </c>
      <c r="Z4" s="12" t="s">
        <v>57</v>
      </c>
      <c r="AA4" s="12" t="s">
        <v>64</v>
      </c>
      <c r="AB4" s="10" t="str">
        <f aca="false">(IF(ISNUMBER(D4),1,0)+IF(ISNUMBER(E4),1,0)+IF(F4&lt;&gt;"미상",1,0)+IF(G4&lt;&gt;"미상",1,0)+IF(H4&lt;&gt;"미상",1,0)+IF(I4&lt;&gt;"미상",1,0)+IF(J4&lt;&gt;"미상",1,0)+IF(K4&lt;&gt;"미상",1,0)+IF(L4&lt;&gt;"미상",1,0)+IF(M4&lt;&gt;"미상",1,0)+IF(N4&lt;&gt;"미상",1,0))&amp;"/11"</f>
        <v>11/11</v>
      </c>
      <c r="AC4" s="9" t="s">
        <v>65</v>
      </c>
    </row>
    <row r="5" customFormat="false" ht="17.15" hidden="false" customHeight="false" outlineLevel="0" collapsed="false">
      <c r="A5" s="10" t="n">
        <v>4</v>
      </c>
      <c r="B5" s="10" t="s">
        <v>66</v>
      </c>
      <c r="C5" s="10" t="s">
        <v>55</v>
      </c>
      <c r="D5" s="12" t="n">
        <v>110</v>
      </c>
      <c r="E5" s="12" t="n">
        <v>75</v>
      </c>
      <c r="F5" s="12" t="s">
        <v>3</v>
      </c>
      <c r="G5" s="11" t="s">
        <v>8</v>
      </c>
      <c r="H5" s="12" t="s">
        <v>12</v>
      </c>
      <c r="I5" s="12" t="s">
        <v>17</v>
      </c>
      <c r="J5" s="12" t="s">
        <v>21</v>
      </c>
      <c r="K5" s="12" t="s">
        <v>24</v>
      </c>
      <c r="L5" s="12" t="s">
        <v>17</v>
      </c>
      <c r="M5" s="12" t="s">
        <v>32</v>
      </c>
      <c r="N5" s="12" t="s">
        <v>3</v>
      </c>
      <c r="O5" s="11" t="s">
        <v>56</v>
      </c>
      <c r="P5" s="11" t="s">
        <v>56</v>
      </c>
      <c r="Q5" s="11" t="s">
        <v>56</v>
      </c>
      <c r="R5" s="13" t="n">
        <f aca="false">IF(NOT(ISNUMBER(D5)),0,IF(D5&gt;=300,20,IF(D5&gt;=200,15,IF(D5&gt;=100,10,5))))+IF(NOT(ISNUMBER(E5)),0,IF(E5&gt;=60,10,IF(E5&gt;=40,6,3)))+IFERROR(VLOOKUP(F5,기준!$B$4:$C$7,2,FALSE()),0)</f>
        <v>25</v>
      </c>
      <c r="S5" s="13" t="n">
        <f aca="false">IFERROR(VLOOKUP(I5,기준!$B$22:$C$24,2,FALSE()),0)+IFERROR(VLOOKUP(J5,기준!$B$27:$C$30,2,FALSE()),0)+IFERROR(VLOOKUP(K5,기준!$B$33:$C$39,2,FALSE()),0)</f>
        <v>25</v>
      </c>
      <c r="T5" s="13" t="n">
        <f aca="false">IFERROR(VLOOKUP(G5,기준!$B$10:$C$13,2,FALSE()),0)+IFERROR(VLOOKUP(H5,기준!$B$16:$C$20,2,FALSE()),0)</f>
        <v>20</v>
      </c>
      <c r="U5" s="13" t="n">
        <f aca="false">IFERROR(VLOOKUP(L5,기준!$B$42:$C$44,2,FALSE()),0)+IFERROR(VLOOKUP(M5,기준!$B$47:$C$50,2,FALSE()),0)+IFERROR(VLOOKUP(N5,기준!$B$53:$C$56,2,FALSE()),0)</f>
        <v>15</v>
      </c>
      <c r="V5" s="13" t="n">
        <f aca="false">SUM(R5:U5)</f>
        <v>85</v>
      </c>
      <c r="W5" s="13" t="n">
        <f aca="false">MIN(IF(O5="Y",20,100),IF(P5="Y",40,100),IF(Q5="Y",50,100))</f>
        <v>100</v>
      </c>
      <c r="X5" s="13" t="n">
        <f aca="false">MIN(V5,W5)</f>
        <v>85</v>
      </c>
      <c r="Y5" s="13" t="n">
        <f aca="false">RANK(X5,$X$2:$X$34,0)</f>
        <v>4</v>
      </c>
      <c r="Z5" s="12" t="s">
        <v>57</v>
      </c>
      <c r="AA5" s="12" t="s">
        <v>67</v>
      </c>
      <c r="AB5" s="10" t="str">
        <f aca="false">(IF(ISNUMBER(D5),1,0)+IF(ISNUMBER(E5),1,0)+IF(F5&lt;&gt;"미상",1,0)+IF(G5&lt;&gt;"미상",1,0)+IF(H5&lt;&gt;"미상",1,0)+IF(I5&lt;&gt;"미상",1,0)+IF(J5&lt;&gt;"미상",1,0)+IF(K5&lt;&gt;"미상",1,0)+IF(L5&lt;&gt;"미상",1,0)+IF(M5&lt;&gt;"미상",1,0)+IF(N5&lt;&gt;"미상",1,0))&amp;"/11"</f>
        <v>11/11</v>
      </c>
      <c r="AC5" s="9" t="s">
        <v>68</v>
      </c>
    </row>
    <row r="6" customFormat="false" ht="17.15" hidden="false" customHeight="false" outlineLevel="0" collapsed="false">
      <c r="A6" s="10" t="n">
        <v>5</v>
      </c>
      <c r="B6" s="10" t="s">
        <v>69</v>
      </c>
      <c r="C6" s="10" t="s">
        <v>55</v>
      </c>
      <c r="D6" s="12" t="n">
        <v>320</v>
      </c>
      <c r="E6" s="12" t="n">
        <v>80</v>
      </c>
      <c r="F6" s="12" t="s">
        <v>3</v>
      </c>
      <c r="G6" s="11" t="s">
        <v>8</v>
      </c>
      <c r="H6" s="12" t="s">
        <v>12</v>
      </c>
      <c r="I6" s="12" t="s">
        <v>17</v>
      </c>
      <c r="J6" s="12" t="s">
        <v>20</v>
      </c>
      <c r="K6" s="12" t="s">
        <v>24</v>
      </c>
      <c r="L6" s="12" t="s">
        <v>17</v>
      </c>
      <c r="M6" s="12" t="s">
        <v>32</v>
      </c>
      <c r="N6" s="12" t="s">
        <v>3</v>
      </c>
      <c r="O6" s="11" t="s">
        <v>56</v>
      </c>
      <c r="P6" s="11" t="s">
        <v>56</v>
      </c>
      <c r="Q6" s="11" t="s">
        <v>56</v>
      </c>
      <c r="R6" s="13" t="n">
        <f aca="false">IF(NOT(ISNUMBER(D6)),0,IF(D6&gt;=300,20,IF(D6&gt;=200,15,IF(D6&gt;=100,10,5))))+IF(NOT(ISNUMBER(E6)),0,IF(E6&gt;=60,10,IF(E6&gt;=40,6,3)))+IFERROR(VLOOKUP(F6,기준!$B$4:$C$7,2,FALSE()),0)</f>
        <v>35</v>
      </c>
      <c r="S6" s="13" t="n">
        <f aca="false">IFERROR(VLOOKUP(I6,기준!$B$22:$C$24,2,FALSE()),0)+IFERROR(VLOOKUP(J6,기준!$B$27:$C$30,2,FALSE()),0)+IFERROR(VLOOKUP(K6,기준!$B$33:$C$39,2,FALSE()),0)</f>
        <v>30</v>
      </c>
      <c r="T6" s="13" t="n">
        <f aca="false">IFERROR(VLOOKUP(G6,기준!$B$10:$C$13,2,FALSE()),0)+IFERROR(VLOOKUP(H6,기준!$B$16:$C$20,2,FALSE()),0)</f>
        <v>20</v>
      </c>
      <c r="U6" s="13" t="n">
        <f aca="false">IFERROR(VLOOKUP(L6,기준!$B$42:$C$44,2,FALSE()),0)+IFERROR(VLOOKUP(M6,기준!$B$47:$C$50,2,FALSE()),0)+IFERROR(VLOOKUP(N6,기준!$B$53:$C$56,2,FALSE()),0)</f>
        <v>15</v>
      </c>
      <c r="V6" s="13" t="n">
        <f aca="false">SUM(R6:U6)</f>
        <v>100</v>
      </c>
      <c r="W6" s="13" t="n">
        <f aca="false">MIN(IF(O6="Y",20,100),IF(P6="Y",40,100),IF(Q6="Y",50,100))</f>
        <v>100</v>
      </c>
      <c r="X6" s="13" t="n">
        <f aca="false">MIN(V6,W6)</f>
        <v>100</v>
      </c>
      <c r="Y6" s="13" t="n">
        <f aca="false">RANK(X6,$X$2:$X$34,0)</f>
        <v>1</v>
      </c>
      <c r="Z6" s="12" t="s">
        <v>57</v>
      </c>
      <c r="AA6" s="12" t="s">
        <v>58</v>
      </c>
      <c r="AB6" s="10" t="str">
        <f aca="false">(IF(ISNUMBER(D6),1,0)+IF(ISNUMBER(E6),1,0)+IF(F6&lt;&gt;"미상",1,0)+IF(G6&lt;&gt;"미상",1,0)+IF(H6&lt;&gt;"미상",1,0)+IF(I6&lt;&gt;"미상",1,0)+IF(J6&lt;&gt;"미상",1,0)+IF(K6&lt;&gt;"미상",1,0)+IF(L6&lt;&gt;"미상",1,0)+IF(M6&lt;&gt;"미상",1,0)+IF(N6&lt;&gt;"미상",1,0))&amp;"/11"</f>
        <v>11/11</v>
      </c>
      <c r="AC6" s="9" t="s">
        <v>70</v>
      </c>
    </row>
    <row r="7" customFormat="false" ht="17.15" hidden="false" customHeight="false" outlineLevel="0" collapsed="false">
      <c r="A7" s="10" t="n">
        <v>6</v>
      </c>
      <c r="B7" s="10" t="s">
        <v>71</v>
      </c>
      <c r="C7" s="10" t="s">
        <v>55</v>
      </c>
      <c r="D7" s="12" t="n">
        <v>255</v>
      </c>
      <c r="E7" s="12" t="n">
        <v>26</v>
      </c>
      <c r="F7" s="12" t="s">
        <v>3</v>
      </c>
      <c r="G7" s="11" t="s">
        <v>9</v>
      </c>
      <c r="H7" s="12" t="s">
        <v>12</v>
      </c>
      <c r="I7" s="12" t="s">
        <v>17</v>
      </c>
      <c r="J7" s="12" t="s">
        <v>21</v>
      </c>
      <c r="K7" s="12" t="s">
        <v>25</v>
      </c>
      <c r="L7" s="12" t="s">
        <v>6</v>
      </c>
      <c r="M7" s="12" t="s">
        <v>4</v>
      </c>
      <c r="N7" s="12" t="s">
        <v>3</v>
      </c>
      <c r="O7" s="11" t="s">
        <v>56</v>
      </c>
      <c r="P7" s="11" t="s">
        <v>56</v>
      </c>
      <c r="Q7" s="11" t="s">
        <v>56</v>
      </c>
      <c r="R7" s="13" t="n">
        <f aca="false">IF(NOT(ISNUMBER(D7)),0,IF(D7&gt;=300,20,IF(D7&gt;=200,15,IF(D7&gt;=100,10,5))))+IF(NOT(ISNUMBER(E7)),0,IF(E7&gt;=60,10,IF(E7&gt;=40,6,3)))+IFERROR(VLOOKUP(F7,기준!$B$4:$C$7,2,FALSE()),0)</f>
        <v>23</v>
      </c>
      <c r="S7" s="13" t="n">
        <f aca="false">IFERROR(VLOOKUP(I7,기준!$B$22:$C$24,2,FALSE()),0)+IFERROR(VLOOKUP(J7,기준!$B$27:$C$30,2,FALSE()),0)+IFERROR(VLOOKUP(K7,기준!$B$33:$C$39,2,FALSE()),0)</f>
        <v>25</v>
      </c>
      <c r="T7" s="13" t="n">
        <f aca="false">IFERROR(VLOOKUP(G7,기준!$B$10:$C$13,2,FALSE()),0)+IFERROR(VLOOKUP(H7,기준!$B$16:$C$20,2,FALSE()),0)</f>
        <v>20</v>
      </c>
      <c r="U7" s="13" t="n">
        <f aca="false">IFERROR(VLOOKUP(L7,기준!$B$42:$C$44,2,FALSE()),0)+IFERROR(VLOOKUP(M7,기준!$B$47:$C$50,2,FALSE()),0)+IFERROR(VLOOKUP(N7,기준!$B$53:$C$56,2,FALSE()),0)</f>
        <v>7</v>
      </c>
      <c r="V7" s="13" t="n">
        <f aca="false">SUM(R7:U7)</f>
        <v>75</v>
      </c>
      <c r="W7" s="13" t="n">
        <f aca="false">MIN(IF(O7="Y",20,100),IF(P7="Y",40,100),IF(Q7="Y",50,100))</f>
        <v>100</v>
      </c>
      <c r="X7" s="13" t="n">
        <f aca="false">MIN(V7,W7)</f>
        <v>75</v>
      </c>
      <c r="Y7" s="13" t="n">
        <f aca="false">RANK(X7,$X$2:$X$34,0)</f>
        <v>7</v>
      </c>
      <c r="Z7" s="12" t="s">
        <v>57</v>
      </c>
      <c r="AA7" s="12" t="s">
        <v>61</v>
      </c>
      <c r="AB7" s="10" t="str">
        <f aca="false">(IF(ISNUMBER(D7),1,0)+IF(ISNUMBER(E7),1,0)+IF(F7&lt;&gt;"미상",1,0)+IF(G7&lt;&gt;"미상",1,0)+IF(H7&lt;&gt;"미상",1,0)+IF(I7&lt;&gt;"미상",1,0)+IF(J7&lt;&gt;"미상",1,0)+IF(K7&lt;&gt;"미상",1,0)+IF(L7&lt;&gt;"미상",1,0)+IF(M7&lt;&gt;"미상",1,0)+IF(N7&lt;&gt;"미상",1,0))&amp;"/11"</f>
        <v>10/11</v>
      </c>
      <c r="AC7" s="9" t="s">
        <v>72</v>
      </c>
    </row>
    <row r="8" customFormat="false" ht="17.15" hidden="false" customHeight="false" outlineLevel="0" collapsed="false">
      <c r="A8" s="10" t="n">
        <v>7</v>
      </c>
      <c r="B8" s="9" t="s">
        <v>73</v>
      </c>
      <c r="C8" s="10" t="s">
        <v>74</v>
      </c>
      <c r="D8" s="12"/>
      <c r="E8" s="12"/>
      <c r="F8" s="12" t="s">
        <v>6</v>
      </c>
      <c r="G8" s="12" t="s">
        <v>6</v>
      </c>
      <c r="H8" s="12" t="s">
        <v>6</v>
      </c>
      <c r="I8" s="12" t="s">
        <v>6</v>
      </c>
      <c r="J8" s="12" t="s">
        <v>6</v>
      </c>
      <c r="K8" s="12" t="s">
        <v>26</v>
      </c>
      <c r="L8" s="12" t="s">
        <v>6</v>
      </c>
      <c r="M8" s="12" t="s">
        <v>6</v>
      </c>
      <c r="N8" s="12" t="s">
        <v>6</v>
      </c>
      <c r="O8" s="11" t="s">
        <v>56</v>
      </c>
      <c r="P8" s="11" t="s">
        <v>56</v>
      </c>
      <c r="Q8" s="11" t="s">
        <v>56</v>
      </c>
      <c r="R8" s="13" t="n">
        <f aca="false">IF(NOT(ISNUMBER(D8)),0,IF(D8&gt;=300,20,IF(D8&gt;=200,15,IF(D8&gt;=100,10,5))))+IF(NOT(ISNUMBER(E8)),0,IF(E8&gt;=60,10,IF(E8&gt;=40,6,3)))+IFERROR(VLOOKUP(F8,기준!$B$4:$C$7,2,FALSE()),0)</f>
        <v>0</v>
      </c>
      <c r="S8" s="13" t="n">
        <f aca="false">IFERROR(VLOOKUP(I8,기준!$B$22:$C$24,2,FALSE()),0)+IFERROR(VLOOKUP(J8,기준!$B$27:$C$30,2,FALSE()),0)+IFERROR(VLOOKUP(K8,기준!$B$33:$C$39,2,FALSE()),0)</f>
        <v>6</v>
      </c>
      <c r="T8" s="13" t="n">
        <f aca="false">IFERROR(VLOOKUP(G8,기준!$B$10:$C$13,2,FALSE()),0)+IFERROR(VLOOKUP(H8,기준!$B$16:$C$20,2,FALSE()),0)</f>
        <v>8</v>
      </c>
      <c r="U8" s="13" t="n">
        <f aca="false">IFERROR(VLOOKUP(L8,기준!$B$42:$C$44,2,FALSE()),0)+IFERROR(VLOOKUP(M8,기준!$B$47:$C$50,2,FALSE()),0)+IFERROR(VLOOKUP(N8,기준!$B$53:$C$56,2,FALSE()),0)</f>
        <v>0</v>
      </c>
      <c r="V8" s="13" t="n">
        <f aca="false">SUM(R8:U8)</f>
        <v>14</v>
      </c>
      <c r="W8" s="13" t="n">
        <f aca="false">MIN(IF(O8="Y",20,100),IF(P8="Y",40,100),IF(Q8="Y",50,100))</f>
        <v>100</v>
      </c>
      <c r="X8" s="13" t="n">
        <f aca="false">MIN(V8,W8)</f>
        <v>14</v>
      </c>
      <c r="Y8" s="13" t="n">
        <f aca="false">RANK(X8,$X$2:$X$34,0)</f>
        <v>20</v>
      </c>
      <c r="Z8" s="12" t="s">
        <v>6</v>
      </c>
      <c r="AA8" s="12" t="s">
        <v>61</v>
      </c>
      <c r="AB8" s="10" t="str">
        <f aca="false">(IF(ISNUMBER(D8),1,0)+IF(ISNUMBER(E8),1,0)+IF(F8&lt;&gt;"미상",1,0)+IF(G8&lt;&gt;"미상",1,0)+IF(H8&lt;&gt;"미상",1,0)+IF(I8&lt;&gt;"미상",1,0)+IF(J8&lt;&gt;"미상",1,0)+IF(K8&lt;&gt;"미상",1,0)+IF(L8&lt;&gt;"미상",1,0)+IF(M8&lt;&gt;"미상",1,0)+IF(N8&lt;&gt;"미상",1,0))&amp;"/11"</f>
        <v>1/11</v>
      </c>
      <c r="AC8" s="10" t="s">
        <v>75</v>
      </c>
    </row>
    <row r="9" customFormat="false" ht="17.15" hidden="false" customHeight="false" outlineLevel="0" collapsed="false">
      <c r="A9" s="10" t="n">
        <v>8</v>
      </c>
      <c r="B9" s="10" t="s">
        <v>76</v>
      </c>
      <c r="C9" s="10" t="s">
        <v>55</v>
      </c>
      <c r="D9" s="12"/>
      <c r="E9" s="12"/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24</v>
      </c>
      <c r="L9" s="12" t="s">
        <v>6</v>
      </c>
      <c r="M9" s="12" t="s">
        <v>6</v>
      </c>
      <c r="N9" s="12" t="s">
        <v>6</v>
      </c>
      <c r="O9" s="11" t="s">
        <v>56</v>
      </c>
      <c r="P9" s="11" t="s">
        <v>56</v>
      </c>
      <c r="Q9" s="11" t="s">
        <v>56</v>
      </c>
      <c r="R9" s="13" t="n">
        <f aca="false">IF(NOT(ISNUMBER(D9)),0,IF(D9&gt;=300,20,IF(D9&gt;=200,15,IF(D9&gt;=100,10,5))))+IF(NOT(ISNUMBER(E9)),0,IF(E9&gt;=60,10,IF(E9&gt;=40,6,3)))+IFERROR(VLOOKUP(F9,기준!$B$4:$C$7,2,FALSE()),0)</f>
        <v>0</v>
      </c>
      <c r="S9" s="13" t="n">
        <f aca="false">IFERROR(VLOOKUP(I9,기준!$B$22:$C$24,2,FALSE()),0)+IFERROR(VLOOKUP(J9,기준!$B$27:$C$30,2,FALSE()),0)+IFERROR(VLOOKUP(K9,기준!$B$33:$C$39,2,FALSE()),0)</f>
        <v>10</v>
      </c>
      <c r="T9" s="13" t="n">
        <f aca="false">IFERROR(VLOOKUP(G9,기준!$B$10:$C$13,2,FALSE()),0)+IFERROR(VLOOKUP(H9,기준!$B$16:$C$20,2,FALSE()),0)</f>
        <v>8</v>
      </c>
      <c r="U9" s="13" t="n">
        <f aca="false">IFERROR(VLOOKUP(L9,기준!$B$42:$C$44,2,FALSE()),0)+IFERROR(VLOOKUP(M9,기준!$B$47:$C$50,2,FALSE()),0)+IFERROR(VLOOKUP(N9,기준!$B$53:$C$56,2,FALSE()),0)</f>
        <v>0</v>
      </c>
      <c r="V9" s="13" t="n">
        <f aca="false">SUM(R9:U9)</f>
        <v>18</v>
      </c>
      <c r="W9" s="13" t="n">
        <f aca="false">MIN(IF(O9="Y",20,100),IF(P9="Y",40,100),IF(Q9="Y",50,100))</f>
        <v>100</v>
      </c>
      <c r="X9" s="13" t="n">
        <f aca="false">MIN(V9,W9)</f>
        <v>18</v>
      </c>
      <c r="Y9" s="13" t="n">
        <f aca="false">RANK(X9,$X$2:$X$34,0)</f>
        <v>17</v>
      </c>
      <c r="Z9" s="12" t="s">
        <v>6</v>
      </c>
      <c r="AA9" s="12" t="s">
        <v>61</v>
      </c>
      <c r="AB9" s="10" t="str">
        <f aca="false">(IF(ISNUMBER(D9),1,0)+IF(ISNUMBER(E9),1,0)+IF(F9&lt;&gt;"미상",1,0)+IF(G9&lt;&gt;"미상",1,0)+IF(H9&lt;&gt;"미상",1,0)+IF(I9&lt;&gt;"미상",1,0)+IF(J9&lt;&gt;"미상",1,0)+IF(K9&lt;&gt;"미상",1,0)+IF(L9&lt;&gt;"미상",1,0)+IF(M9&lt;&gt;"미상",1,0)+IF(N9&lt;&gt;"미상",1,0))&amp;"/11"</f>
        <v>1/11</v>
      </c>
      <c r="AC9" s="10" t="s">
        <v>77</v>
      </c>
    </row>
    <row r="10" customFormat="false" ht="17.15" hidden="false" customHeight="false" outlineLevel="0" collapsed="false">
      <c r="A10" s="10" t="n">
        <v>9</v>
      </c>
      <c r="B10" s="10" t="s">
        <v>78</v>
      </c>
      <c r="C10" s="10" t="s">
        <v>55</v>
      </c>
      <c r="D10" s="12"/>
      <c r="E10" s="12"/>
      <c r="F10" s="12" t="s">
        <v>6</v>
      </c>
      <c r="G10" s="12" t="s">
        <v>6</v>
      </c>
      <c r="H10" s="12" t="s">
        <v>6</v>
      </c>
      <c r="I10" s="12" t="s">
        <v>6</v>
      </c>
      <c r="J10" s="12" t="s">
        <v>6</v>
      </c>
      <c r="K10" s="12" t="s">
        <v>6</v>
      </c>
      <c r="L10" s="12" t="s">
        <v>6</v>
      </c>
      <c r="M10" s="12" t="s">
        <v>6</v>
      </c>
      <c r="N10" s="12" t="s">
        <v>6</v>
      </c>
      <c r="O10" s="11" t="s">
        <v>56</v>
      </c>
      <c r="P10" s="11" t="s">
        <v>56</v>
      </c>
      <c r="Q10" s="11" t="s">
        <v>56</v>
      </c>
      <c r="R10" s="13" t="n">
        <f aca="false">IF(NOT(ISNUMBER(D10)),0,IF(D10&gt;=300,20,IF(D10&gt;=200,15,IF(D10&gt;=100,10,5))))+IF(NOT(ISNUMBER(E10)),0,IF(E10&gt;=60,10,IF(E10&gt;=40,6,3)))+IFERROR(VLOOKUP(F10,기준!$B$4:$C$7,2,FALSE()),0)</f>
        <v>0</v>
      </c>
      <c r="S10" s="13" t="n">
        <f aca="false">IFERROR(VLOOKUP(I10,기준!$B$22:$C$24,2,FALSE()),0)+IFERROR(VLOOKUP(J10,기준!$B$27:$C$30,2,FALSE()),0)+IFERROR(VLOOKUP(K10,기준!$B$33:$C$39,2,FALSE()),0)</f>
        <v>0</v>
      </c>
      <c r="T10" s="13" t="n">
        <f aca="false">IFERROR(VLOOKUP(G10,기준!$B$10:$C$13,2,FALSE()),0)+IFERROR(VLOOKUP(H10,기준!$B$16:$C$20,2,FALSE()),0)</f>
        <v>8</v>
      </c>
      <c r="U10" s="13" t="n">
        <f aca="false">IFERROR(VLOOKUP(L10,기준!$B$42:$C$44,2,FALSE()),0)+IFERROR(VLOOKUP(M10,기준!$B$47:$C$50,2,FALSE()),0)+IFERROR(VLOOKUP(N10,기준!$B$53:$C$56,2,FALSE()),0)</f>
        <v>0</v>
      </c>
      <c r="V10" s="13" t="n">
        <f aca="false">SUM(R10:U10)</f>
        <v>8</v>
      </c>
      <c r="W10" s="13" t="n">
        <f aca="false">MIN(IF(O10="Y",20,100),IF(P10="Y",40,100),IF(Q10="Y",50,100))</f>
        <v>100</v>
      </c>
      <c r="X10" s="13" t="n">
        <f aca="false">MIN(V10,W10)</f>
        <v>8</v>
      </c>
      <c r="Y10" s="13" t="n">
        <f aca="false">RANK(X10,$X$2:$X$34,0)</f>
        <v>25</v>
      </c>
      <c r="Z10" s="12" t="s">
        <v>6</v>
      </c>
      <c r="AA10" s="12" t="s">
        <v>61</v>
      </c>
      <c r="AB10" s="10" t="str">
        <f aca="false">(IF(ISNUMBER(D10),1,0)+IF(ISNUMBER(E10),1,0)+IF(F10&lt;&gt;"미상",1,0)+IF(G10&lt;&gt;"미상",1,0)+IF(H10&lt;&gt;"미상",1,0)+IF(I10&lt;&gt;"미상",1,0)+IF(J10&lt;&gt;"미상",1,0)+IF(K10&lt;&gt;"미상",1,0)+IF(L10&lt;&gt;"미상",1,0)+IF(M10&lt;&gt;"미상",1,0)+IF(N10&lt;&gt;"미상",1,0))&amp;"/11"</f>
        <v>0/11</v>
      </c>
      <c r="AC10" s="10" t="s">
        <v>79</v>
      </c>
    </row>
    <row r="11" customFormat="false" ht="17.15" hidden="false" customHeight="false" outlineLevel="0" collapsed="false">
      <c r="A11" s="10" t="n">
        <v>10</v>
      </c>
      <c r="B11" s="10" t="s">
        <v>80</v>
      </c>
      <c r="C11" s="10" t="s">
        <v>81</v>
      </c>
      <c r="D11" s="12"/>
      <c r="E11" s="12"/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1" t="s">
        <v>56</v>
      </c>
      <c r="P11" s="11" t="s">
        <v>56</v>
      </c>
      <c r="Q11" s="11" t="s">
        <v>56</v>
      </c>
      <c r="R11" s="13" t="n">
        <f aca="false">IF(NOT(ISNUMBER(D11)),0,IF(D11&gt;=300,20,IF(D11&gt;=200,15,IF(D11&gt;=100,10,5))))+IF(NOT(ISNUMBER(E11)),0,IF(E11&gt;=60,10,IF(E11&gt;=40,6,3)))+IFERROR(VLOOKUP(F11,기준!$B$4:$C$7,2,FALSE()),0)</f>
        <v>0</v>
      </c>
      <c r="S11" s="13" t="n">
        <f aca="false">IFERROR(VLOOKUP(I11,기준!$B$22:$C$24,2,FALSE()),0)+IFERROR(VLOOKUP(J11,기준!$B$27:$C$30,2,FALSE()),0)+IFERROR(VLOOKUP(K11,기준!$B$33:$C$39,2,FALSE()),0)</f>
        <v>0</v>
      </c>
      <c r="T11" s="13" t="n">
        <f aca="false">IFERROR(VLOOKUP(G11,기준!$B$10:$C$13,2,FALSE()),0)+IFERROR(VLOOKUP(H11,기준!$B$16:$C$20,2,FALSE()),0)</f>
        <v>8</v>
      </c>
      <c r="U11" s="13" t="n">
        <f aca="false">IFERROR(VLOOKUP(L11,기준!$B$42:$C$44,2,FALSE()),0)+IFERROR(VLOOKUP(M11,기준!$B$47:$C$50,2,FALSE()),0)+IFERROR(VLOOKUP(N11,기준!$B$53:$C$56,2,FALSE()),0)</f>
        <v>0</v>
      </c>
      <c r="V11" s="13" t="n">
        <f aca="false">SUM(R11:U11)</f>
        <v>8</v>
      </c>
      <c r="W11" s="13" t="n">
        <f aca="false">MIN(IF(O11="Y",20,100),IF(P11="Y",40,100),IF(Q11="Y",50,100))</f>
        <v>100</v>
      </c>
      <c r="X11" s="13" t="n">
        <f aca="false">MIN(V11,W11)</f>
        <v>8</v>
      </c>
      <c r="Y11" s="13" t="n">
        <f aca="false">RANK(X11,$X$2:$X$34,0)</f>
        <v>25</v>
      </c>
      <c r="Z11" s="12" t="s">
        <v>6</v>
      </c>
      <c r="AA11" s="12" t="s">
        <v>61</v>
      </c>
      <c r="AB11" s="10" t="str">
        <f aca="false">(IF(ISNUMBER(D11),1,0)+IF(ISNUMBER(E11),1,0)+IF(F11&lt;&gt;"미상",1,0)+IF(G11&lt;&gt;"미상",1,0)+IF(H11&lt;&gt;"미상",1,0)+IF(I11&lt;&gt;"미상",1,0)+IF(J11&lt;&gt;"미상",1,0)+IF(K11&lt;&gt;"미상",1,0)+IF(L11&lt;&gt;"미상",1,0)+IF(M11&lt;&gt;"미상",1,0)+IF(N11&lt;&gt;"미상",1,0))&amp;"/11"</f>
        <v>0/11</v>
      </c>
      <c r="AC11" s="10" t="s">
        <v>79</v>
      </c>
    </row>
    <row r="12" customFormat="false" ht="17.15" hidden="false" customHeight="false" outlineLevel="0" collapsed="false">
      <c r="A12" s="10" t="n">
        <v>11</v>
      </c>
      <c r="B12" s="10" t="s">
        <v>82</v>
      </c>
      <c r="C12" s="10" t="s">
        <v>81</v>
      </c>
      <c r="D12" s="12"/>
      <c r="E12" s="12"/>
      <c r="F12" s="12" t="s">
        <v>6</v>
      </c>
      <c r="G12" s="12" t="s">
        <v>6</v>
      </c>
      <c r="H12" s="12" t="s">
        <v>6</v>
      </c>
      <c r="I12" s="12" t="s">
        <v>6</v>
      </c>
      <c r="J12" s="12" t="s">
        <v>6</v>
      </c>
      <c r="K12" s="12" t="s">
        <v>6</v>
      </c>
      <c r="L12" s="12" t="s">
        <v>6</v>
      </c>
      <c r="M12" s="12" t="s">
        <v>6</v>
      </c>
      <c r="N12" s="12" t="s">
        <v>6</v>
      </c>
      <c r="O12" s="11" t="s">
        <v>56</v>
      </c>
      <c r="P12" s="11" t="s">
        <v>56</v>
      </c>
      <c r="Q12" s="11" t="s">
        <v>56</v>
      </c>
      <c r="R12" s="13" t="n">
        <f aca="false">IF(NOT(ISNUMBER(D12)),0,IF(D12&gt;=300,20,IF(D12&gt;=200,15,IF(D12&gt;=100,10,5))))+IF(NOT(ISNUMBER(E12)),0,IF(E12&gt;=60,10,IF(E12&gt;=40,6,3)))+IFERROR(VLOOKUP(F12,기준!$B$4:$C$7,2,FALSE()),0)</f>
        <v>0</v>
      </c>
      <c r="S12" s="13" t="n">
        <f aca="false">IFERROR(VLOOKUP(I12,기준!$B$22:$C$24,2,FALSE()),0)+IFERROR(VLOOKUP(J12,기준!$B$27:$C$30,2,FALSE()),0)+IFERROR(VLOOKUP(K12,기준!$B$33:$C$39,2,FALSE()),0)</f>
        <v>0</v>
      </c>
      <c r="T12" s="13" t="n">
        <f aca="false">IFERROR(VLOOKUP(G12,기준!$B$10:$C$13,2,FALSE()),0)+IFERROR(VLOOKUP(H12,기준!$B$16:$C$20,2,FALSE()),0)</f>
        <v>8</v>
      </c>
      <c r="U12" s="13" t="n">
        <f aca="false">IFERROR(VLOOKUP(L12,기준!$B$42:$C$44,2,FALSE()),0)+IFERROR(VLOOKUP(M12,기준!$B$47:$C$50,2,FALSE()),0)+IFERROR(VLOOKUP(N12,기준!$B$53:$C$56,2,FALSE()),0)</f>
        <v>0</v>
      </c>
      <c r="V12" s="13" t="n">
        <f aca="false">SUM(R12:U12)</f>
        <v>8</v>
      </c>
      <c r="W12" s="13" t="n">
        <f aca="false">MIN(IF(O12="Y",20,100),IF(P12="Y",40,100),IF(Q12="Y",50,100))</f>
        <v>100</v>
      </c>
      <c r="X12" s="13" t="n">
        <f aca="false">MIN(V12,W12)</f>
        <v>8</v>
      </c>
      <c r="Y12" s="13" t="n">
        <f aca="false">RANK(X12,$X$2:$X$34,0)</f>
        <v>25</v>
      </c>
      <c r="Z12" s="12" t="s">
        <v>6</v>
      </c>
      <c r="AA12" s="12" t="s">
        <v>61</v>
      </c>
      <c r="AB12" s="10" t="str">
        <f aca="false">(IF(ISNUMBER(D12),1,0)+IF(ISNUMBER(E12),1,0)+IF(F12&lt;&gt;"미상",1,0)+IF(G12&lt;&gt;"미상",1,0)+IF(H12&lt;&gt;"미상",1,0)+IF(I12&lt;&gt;"미상",1,0)+IF(J12&lt;&gt;"미상",1,0)+IF(K12&lt;&gt;"미상",1,0)+IF(L12&lt;&gt;"미상",1,0)+IF(M12&lt;&gt;"미상",1,0)+IF(N12&lt;&gt;"미상",1,0))&amp;"/11"</f>
        <v>0/11</v>
      </c>
      <c r="AC12" s="10" t="s">
        <v>79</v>
      </c>
    </row>
    <row r="13" customFormat="false" ht="17.15" hidden="false" customHeight="false" outlineLevel="0" collapsed="false">
      <c r="A13" s="10" t="n">
        <v>12</v>
      </c>
      <c r="B13" s="10" t="s">
        <v>83</v>
      </c>
      <c r="C13" s="10" t="s">
        <v>81</v>
      </c>
      <c r="D13" s="12"/>
      <c r="E13" s="12"/>
      <c r="F13" s="12" t="s">
        <v>6</v>
      </c>
      <c r="G13" s="12" t="s">
        <v>6</v>
      </c>
      <c r="H13" s="12" t="s">
        <v>6</v>
      </c>
      <c r="I13" s="12" t="s">
        <v>6</v>
      </c>
      <c r="J13" s="12" t="s">
        <v>6</v>
      </c>
      <c r="K13" s="12" t="s">
        <v>6</v>
      </c>
      <c r="L13" s="12" t="s">
        <v>6</v>
      </c>
      <c r="M13" s="12" t="s">
        <v>6</v>
      </c>
      <c r="N13" s="12" t="s">
        <v>6</v>
      </c>
      <c r="O13" s="11" t="s">
        <v>56</v>
      </c>
      <c r="P13" s="11" t="s">
        <v>56</v>
      </c>
      <c r="Q13" s="11" t="s">
        <v>56</v>
      </c>
      <c r="R13" s="13" t="n">
        <f aca="false">IF(NOT(ISNUMBER(D13)),0,IF(D13&gt;=300,20,IF(D13&gt;=200,15,IF(D13&gt;=100,10,5))))+IF(NOT(ISNUMBER(E13)),0,IF(E13&gt;=60,10,IF(E13&gt;=40,6,3)))+IFERROR(VLOOKUP(F13,기준!$B$4:$C$7,2,FALSE()),0)</f>
        <v>0</v>
      </c>
      <c r="S13" s="13" t="n">
        <f aca="false">IFERROR(VLOOKUP(I13,기준!$B$22:$C$24,2,FALSE()),0)+IFERROR(VLOOKUP(J13,기준!$B$27:$C$30,2,FALSE()),0)+IFERROR(VLOOKUP(K13,기준!$B$33:$C$39,2,FALSE()),0)</f>
        <v>0</v>
      </c>
      <c r="T13" s="13" t="n">
        <f aca="false">IFERROR(VLOOKUP(G13,기준!$B$10:$C$13,2,FALSE()),0)+IFERROR(VLOOKUP(H13,기준!$B$16:$C$20,2,FALSE()),0)</f>
        <v>8</v>
      </c>
      <c r="U13" s="13" t="n">
        <f aca="false">IFERROR(VLOOKUP(L13,기준!$B$42:$C$44,2,FALSE()),0)+IFERROR(VLOOKUP(M13,기준!$B$47:$C$50,2,FALSE()),0)+IFERROR(VLOOKUP(N13,기준!$B$53:$C$56,2,FALSE()),0)</f>
        <v>0</v>
      </c>
      <c r="V13" s="13" t="n">
        <f aca="false">SUM(R13:U13)</f>
        <v>8</v>
      </c>
      <c r="W13" s="13" t="n">
        <f aca="false">MIN(IF(O13="Y",20,100),IF(P13="Y",40,100),IF(Q13="Y",50,100))</f>
        <v>100</v>
      </c>
      <c r="X13" s="13" t="n">
        <f aca="false">MIN(V13,W13)</f>
        <v>8</v>
      </c>
      <c r="Y13" s="13" t="n">
        <f aca="false">RANK(X13,$X$2:$X$34,0)</f>
        <v>25</v>
      </c>
      <c r="Z13" s="12" t="s">
        <v>6</v>
      </c>
      <c r="AA13" s="12" t="s">
        <v>61</v>
      </c>
      <c r="AB13" s="10" t="str">
        <f aca="false">(IF(ISNUMBER(D13),1,0)+IF(ISNUMBER(E13),1,0)+IF(F13&lt;&gt;"미상",1,0)+IF(G13&lt;&gt;"미상",1,0)+IF(H13&lt;&gt;"미상",1,0)+IF(I13&lt;&gt;"미상",1,0)+IF(J13&lt;&gt;"미상",1,0)+IF(K13&lt;&gt;"미상",1,0)+IF(L13&lt;&gt;"미상",1,0)+IF(M13&lt;&gt;"미상",1,0)+IF(N13&lt;&gt;"미상",1,0))&amp;"/11"</f>
        <v>0/11</v>
      </c>
      <c r="AC13" s="10" t="s">
        <v>79</v>
      </c>
    </row>
    <row r="14" customFormat="false" ht="17.15" hidden="false" customHeight="false" outlineLevel="0" collapsed="false">
      <c r="A14" s="10" t="n">
        <v>13</v>
      </c>
      <c r="B14" s="10" t="s">
        <v>84</v>
      </c>
      <c r="C14" s="10" t="s">
        <v>85</v>
      </c>
      <c r="D14" s="12"/>
      <c r="E14" s="12"/>
      <c r="F14" s="12" t="s">
        <v>6</v>
      </c>
      <c r="G14" s="12" t="s">
        <v>6</v>
      </c>
      <c r="H14" s="12" t="s">
        <v>6</v>
      </c>
      <c r="I14" s="12" t="s">
        <v>6</v>
      </c>
      <c r="J14" s="12" t="s">
        <v>6</v>
      </c>
      <c r="K14" s="12" t="s">
        <v>27</v>
      </c>
      <c r="L14" s="12" t="s">
        <v>6</v>
      </c>
      <c r="M14" s="12" t="s">
        <v>6</v>
      </c>
      <c r="N14" s="12" t="s">
        <v>6</v>
      </c>
      <c r="O14" s="11" t="s">
        <v>56</v>
      </c>
      <c r="P14" s="11" t="s">
        <v>56</v>
      </c>
      <c r="Q14" s="11" t="s">
        <v>56</v>
      </c>
      <c r="R14" s="13" t="n">
        <f aca="false">IF(NOT(ISNUMBER(D14)),0,IF(D14&gt;=300,20,IF(D14&gt;=200,15,IF(D14&gt;=100,10,5))))+IF(NOT(ISNUMBER(E14)),0,IF(E14&gt;=60,10,IF(E14&gt;=40,6,3)))+IFERROR(VLOOKUP(F14,기준!$B$4:$C$7,2,FALSE()),0)</f>
        <v>0</v>
      </c>
      <c r="S14" s="13" t="n">
        <f aca="false">IFERROR(VLOOKUP(I14,기준!$B$22:$C$24,2,FALSE()),0)+IFERROR(VLOOKUP(J14,기준!$B$27:$C$30,2,FALSE()),0)+IFERROR(VLOOKUP(K14,기준!$B$33:$C$39,2,FALSE()),0)</f>
        <v>6</v>
      </c>
      <c r="T14" s="13" t="n">
        <f aca="false">IFERROR(VLOOKUP(G14,기준!$B$10:$C$13,2,FALSE()),0)+IFERROR(VLOOKUP(H14,기준!$B$16:$C$20,2,FALSE()),0)</f>
        <v>8</v>
      </c>
      <c r="U14" s="13" t="n">
        <f aca="false">IFERROR(VLOOKUP(L14,기준!$B$42:$C$44,2,FALSE()),0)+IFERROR(VLOOKUP(M14,기준!$B$47:$C$50,2,FALSE()),0)+IFERROR(VLOOKUP(N14,기준!$B$53:$C$56,2,FALSE()),0)</f>
        <v>0</v>
      </c>
      <c r="V14" s="13" t="n">
        <f aca="false">SUM(R14:U14)</f>
        <v>14</v>
      </c>
      <c r="W14" s="13" t="n">
        <f aca="false">MIN(IF(O14="Y",20,100),IF(P14="Y",40,100),IF(Q14="Y",50,100))</f>
        <v>100</v>
      </c>
      <c r="X14" s="13" t="n">
        <f aca="false">MIN(V14,W14)</f>
        <v>14</v>
      </c>
      <c r="Y14" s="13" t="n">
        <f aca="false">RANK(X14,$X$2:$X$34,0)</f>
        <v>20</v>
      </c>
      <c r="Z14" s="12" t="s">
        <v>86</v>
      </c>
      <c r="AA14" s="12" t="s">
        <v>61</v>
      </c>
      <c r="AB14" s="10" t="str">
        <f aca="false">(IF(ISNUMBER(D14),1,0)+IF(ISNUMBER(E14),1,0)+IF(F14&lt;&gt;"미상",1,0)+IF(G14&lt;&gt;"미상",1,0)+IF(H14&lt;&gt;"미상",1,0)+IF(I14&lt;&gt;"미상",1,0)+IF(J14&lt;&gt;"미상",1,0)+IF(K14&lt;&gt;"미상",1,0)+IF(L14&lt;&gt;"미상",1,0)+IF(M14&lt;&gt;"미상",1,0)+IF(N14&lt;&gt;"미상",1,0))&amp;"/11"</f>
        <v>1/11</v>
      </c>
      <c r="AC14" s="10" t="s">
        <v>87</v>
      </c>
    </row>
    <row r="15" customFormat="false" ht="17.15" hidden="false" customHeight="false" outlineLevel="0" collapsed="false">
      <c r="A15" s="10" t="n">
        <v>14</v>
      </c>
      <c r="B15" s="10" t="s">
        <v>88</v>
      </c>
      <c r="C15" s="10" t="s">
        <v>89</v>
      </c>
      <c r="D15" s="12"/>
      <c r="E15" s="12"/>
      <c r="F15" s="12" t="s">
        <v>6</v>
      </c>
      <c r="G15" s="12" t="s">
        <v>6</v>
      </c>
      <c r="H15" s="12" t="s">
        <v>6</v>
      </c>
      <c r="I15" s="12" t="s">
        <v>6</v>
      </c>
      <c r="J15" s="12" t="s">
        <v>6</v>
      </c>
      <c r="K15" s="12" t="s">
        <v>6</v>
      </c>
      <c r="L15" s="12" t="s">
        <v>6</v>
      </c>
      <c r="M15" s="12" t="s">
        <v>6</v>
      </c>
      <c r="N15" s="12" t="s">
        <v>6</v>
      </c>
      <c r="O15" s="11" t="s">
        <v>56</v>
      </c>
      <c r="P15" s="11" t="s">
        <v>56</v>
      </c>
      <c r="Q15" s="11" t="s">
        <v>56</v>
      </c>
      <c r="R15" s="13" t="n">
        <f aca="false">IF(NOT(ISNUMBER(D15)),0,IF(D15&gt;=300,20,IF(D15&gt;=200,15,IF(D15&gt;=100,10,5))))+IF(NOT(ISNUMBER(E15)),0,IF(E15&gt;=60,10,IF(E15&gt;=40,6,3)))+IFERROR(VLOOKUP(F15,기준!$B$4:$C$7,2,FALSE()),0)</f>
        <v>0</v>
      </c>
      <c r="S15" s="13" t="n">
        <f aca="false">IFERROR(VLOOKUP(I15,기준!$B$22:$C$24,2,FALSE()),0)+IFERROR(VLOOKUP(J15,기준!$B$27:$C$30,2,FALSE()),0)+IFERROR(VLOOKUP(K15,기준!$B$33:$C$39,2,FALSE()),0)</f>
        <v>0</v>
      </c>
      <c r="T15" s="13" t="n">
        <f aca="false">IFERROR(VLOOKUP(G15,기준!$B$10:$C$13,2,FALSE()),0)+IFERROR(VLOOKUP(H15,기준!$B$16:$C$20,2,FALSE()),0)</f>
        <v>8</v>
      </c>
      <c r="U15" s="13" t="n">
        <f aca="false">IFERROR(VLOOKUP(L15,기준!$B$42:$C$44,2,FALSE()),0)+IFERROR(VLOOKUP(M15,기준!$B$47:$C$50,2,FALSE()),0)+IFERROR(VLOOKUP(N15,기준!$B$53:$C$56,2,FALSE()),0)</f>
        <v>0</v>
      </c>
      <c r="V15" s="13" t="n">
        <f aca="false">SUM(R15:U15)</f>
        <v>8</v>
      </c>
      <c r="W15" s="13" t="n">
        <f aca="false">MIN(IF(O15="Y",20,100),IF(P15="Y",40,100),IF(Q15="Y",50,100))</f>
        <v>100</v>
      </c>
      <c r="X15" s="13" t="n">
        <f aca="false">MIN(V15,W15)</f>
        <v>8</v>
      </c>
      <c r="Y15" s="13" t="n">
        <f aca="false">RANK(X15,$X$2:$X$34,0)</f>
        <v>25</v>
      </c>
      <c r="Z15" s="12" t="s">
        <v>86</v>
      </c>
      <c r="AA15" s="12" t="s">
        <v>61</v>
      </c>
      <c r="AB15" s="10" t="str">
        <f aca="false">(IF(ISNUMBER(D15),1,0)+IF(ISNUMBER(E15),1,0)+IF(F15&lt;&gt;"미상",1,0)+IF(G15&lt;&gt;"미상",1,0)+IF(H15&lt;&gt;"미상",1,0)+IF(I15&lt;&gt;"미상",1,0)+IF(J15&lt;&gt;"미상",1,0)+IF(K15&lt;&gt;"미상",1,0)+IF(L15&lt;&gt;"미상",1,0)+IF(M15&lt;&gt;"미상",1,0)+IF(N15&lt;&gt;"미상",1,0))&amp;"/11"</f>
        <v>0/11</v>
      </c>
      <c r="AC15" s="10" t="s">
        <v>90</v>
      </c>
    </row>
    <row r="16" customFormat="false" ht="17.15" hidden="false" customHeight="false" outlineLevel="0" collapsed="false">
      <c r="A16" s="10" t="n">
        <v>15</v>
      </c>
      <c r="B16" s="10" t="s">
        <v>91</v>
      </c>
      <c r="C16" s="10" t="s">
        <v>81</v>
      </c>
      <c r="D16" s="12"/>
      <c r="E16" s="12"/>
      <c r="F16" s="12" t="s">
        <v>6</v>
      </c>
      <c r="G16" s="12" t="s">
        <v>6</v>
      </c>
      <c r="H16" s="12" t="s">
        <v>6</v>
      </c>
      <c r="I16" s="12" t="s">
        <v>6</v>
      </c>
      <c r="J16" s="12" t="s">
        <v>6</v>
      </c>
      <c r="K16" s="12" t="s">
        <v>6</v>
      </c>
      <c r="L16" s="12" t="s">
        <v>6</v>
      </c>
      <c r="M16" s="12" t="s">
        <v>6</v>
      </c>
      <c r="N16" s="12" t="s">
        <v>6</v>
      </c>
      <c r="O16" s="11" t="s">
        <v>56</v>
      </c>
      <c r="P16" s="11" t="s">
        <v>56</v>
      </c>
      <c r="Q16" s="11" t="s">
        <v>56</v>
      </c>
      <c r="R16" s="13" t="n">
        <f aca="false">IF(NOT(ISNUMBER(D16)),0,IF(D16&gt;=300,20,IF(D16&gt;=200,15,IF(D16&gt;=100,10,5))))+IF(NOT(ISNUMBER(E16)),0,IF(E16&gt;=60,10,IF(E16&gt;=40,6,3)))+IFERROR(VLOOKUP(F16,기준!$B$4:$C$7,2,FALSE()),0)</f>
        <v>0</v>
      </c>
      <c r="S16" s="13" t="n">
        <f aca="false">IFERROR(VLOOKUP(I16,기준!$B$22:$C$24,2,FALSE()),0)+IFERROR(VLOOKUP(J16,기준!$B$27:$C$30,2,FALSE()),0)+IFERROR(VLOOKUP(K16,기준!$B$33:$C$39,2,FALSE()),0)</f>
        <v>0</v>
      </c>
      <c r="T16" s="13" t="n">
        <f aca="false">IFERROR(VLOOKUP(G16,기준!$B$10:$C$13,2,FALSE()),0)+IFERROR(VLOOKUP(H16,기준!$B$16:$C$20,2,FALSE()),0)</f>
        <v>8</v>
      </c>
      <c r="U16" s="13" t="n">
        <f aca="false">IFERROR(VLOOKUP(L16,기준!$B$42:$C$44,2,FALSE()),0)+IFERROR(VLOOKUP(M16,기준!$B$47:$C$50,2,FALSE()),0)+IFERROR(VLOOKUP(N16,기준!$B$53:$C$56,2,FALSE()),0)</f>
        <v>0</v>
      </c>
      <c r="V16" s="13" t="n">
        <f aca="false">SUM(R16:U16)</f>
        <v>8</v>
      </c>
      <c r="W16" s="13" t="n">
        <f aca="false">MIN(IF(O16="Y",20,100),IF(P16="Y",40,100),IF(Q16="Y",50,100))</f>
        <v>100</v>
      </c>
      <c r="X16" s="13" t="n">
        <f aca="false">MIN(V16,W16)</f>
        <v>8</v>
      </c>
      <c r="Y16" s="13" t="n">
        <f aca="false">RANK(X16,$X$2:$X$34,0)</f>
        <v>25</v>
      </c>
      <c r="Z16" s="12" t="s">
        <v>6</v>
      </c>
      <c r="AA16" s="12" t="s">
        <v>61</v>
      </c>
      <c r="AB16" s="10" t="str">
        <f aca="false">(IF(ISNUMBER(D16),1,0)+IF(ISNUMBER(E16),1,0)+IF(F16&lt;&gt;"미상",1,0)+IF(G16&lt;&gt;"미상",1,0)+IF(H16&lt;&gt;"미상",1,0)+IF(I16&lt;&gt;"미상",1,0)+IF(J16&lt;&gt;"미상",1,0)+IF(K16&lt;&gt;"미상",1,0)+IF(L16&lt;&gt;"미상",1,0)+IF(M16&lt;&gt;"미상",1,0)+IF(N16&lt;&gt;"미상",1,0))&amp;"/11"</f>
        <v>0/11</v>
      </c>
      <c r="AC16" s="10" t="s">
        <v>92</v>
      </c>
    </row>
    <row r="17" customFormat="false" ht="17.15" hidden="false" customHeight="false" outlineLevel="0" collapsed="false">
      <c r="A17" s="10" t="n">
        <v>16</v>
      </c>
      <c r="B17" s="10" t="s">
        <v>93</v>
      </c>
      <c r="C17" s="10" t="s">
        <v>94</v>
      </c>
      <c r="D17" s="12"/>
      <c r="E17" s="12"/>
      <c r="F17" s="12" t="s">
        <v>6</v>
      </c>
      <c r="G17" s="12" t="s">
        <v>6</v>
      </c>
      <c r="H17" s="12" t="s">
        <v>12</v>
      </c>
      <c r="I17" s="12" t="s">
        <v>6</v>
      </c>
      <c r="J17" s="12" t="s">
        <v>21</v>
      </c>
      <c r="K17" s="12" t="s">
        <v>28</v>
      </c>
      <c r="L17" s="12" t="s">
        <v>6</v>
      </c>
      <c r="M17" s="12" t="s">
        <v>6</v>
      </c>
      <c r="N17" s="12" t="s">
        <v>6</v>
      </c>
      <c r="O17" s="11" t="s">
        <v>56</v>
      </c>
      <c r="P17" s="11" t="s">
        <v>56</v>
      </c>
      <c r="Q17" s="11" t="s">
        <v>56</v>
      </c>
      <c r="R17" s="13" t="n">
        <f aca="false">IF(NOT(ISNUMBER(D17)),0,IF(D17&gt;=300,20,IF(D17&gt;=200,15,IF(D17&gt;=100,10,5))))+IF(NOT(ISNUMBER(E17)),0,IF(E17&gt;=60,10,IF(E17&gt;=40,6,3)))+IFERROR(VLOOKUP(F17,기준!$B$4:$C$7,2,FALSE()),0)</f>
        <v>0</v>
      </c>
      <c r="S17" s="13" t="n">
        <f aca="false">IFERROR(VLOOKUP(I17,기준!$B$22:$C$24,2,FALSE()),0)+IFERROR(VLOOKUP(J17,기준!$B$27:$C$30,2,FALSE()),0)+IFERROR(VLOOKUP(K17,기준!$B$33:$C$39,2,FALSE()),0)</f>
        <v>11</v>
      </c>
      <c r="T17" s="13" t="n">
        <f aca="false">IFERROR(VLOOKUP(G17,기준!$B$10:$C$13,2,FALSE()),0)+IFERROR(VLOOKUP(H17,기준!$B$16:$C$20,2,FALSE()),0)</f>
        <v>15</v>
      </c>
      <c r="U17" s="13" t="n">
        <f aca="false">IFERROR(VLOOKUP(L17,기준!$B$42:$C$44,2,FALSE()),0)+IFERROR(VLOOKUP(M17,기준!$B$47:$C$50,2,FALSE()),0)+IFERROR(VLOOKUP(N17,기준!$B$53:$C$56,2,FALSE()),0)</f>
        <v>0</v>
      </c>
      <c r="V17" s="13" t="n">
        <f aca="false">SUM(R17:U17)</f>
        <v>26</v>
      </c>
      <c r="W17" s="13" t="n">
        <f aca="false">MIN(IF(O17="Y",20,100),IF(P17="Y",40,100),IF(Q17="Y",50,100))</f>
        <v>100</v>
      </c>
      <c r="X17" s="13" t="n">
        <f aca="false">MIN(V17,W17)</f>
        <v>26</v>
      </c>
      <c r="Y17" s="13" t="n">
        <f aca="false">RANK(X17,$X$2:$X$34,0)</f>
        <v>14</v>
      </c>
      <c r="Z17" s="12" t="s">
        <v>86</v>
      </c>
      <c r="AA17" s="12" t="s">
        <v>61</v>
      </c>
      <c r="AB17" s="10" t="str">
        <f aca="false">(IF(ISNUMBER(D17),1,0)+IF(ISNUMBER(E17),1,0)+IF(F17&lt;&gt;"미상",1,0)+IF(G17&lt;&gt;"미상",1,0)+IF(H17&lt;&gt;"미상",1,0)+IF(I17&lt;&gt;"미상",1,0)+IF(J17&lt;&gt;"미상",1,0)+IF(K17&lt;&gt;"미상",1,0)+IF(L17&lt;&gt;"미상",1,0)+IF(M17&lt;&gt;"미상",1,0)+IF(N17&lt;&gt;"미상",1,0))&amp;"/11"</f>
        <v>3/11</v>
      </c>
      <c r="AC17" s="10" t="s">
        <v>95</v>
      </c>
    </row>
    <row r="18" customFormat="false" ht="17.15" hidden="false" customHeight="false" outlineLevel="0" collapsed="false">
      <c r="A18" s="10" t="n">
        <v>17</v>
      </c>
      <c r="B18" s="10" t="s">
        <v>96</v>
      </c>
      <c r="C18" s="10" t="s">
        <v>94</v>
      </c>
      <c r="D18" s="12"/>
      <c r="E18" s="12"/>
      <c r="F18" s="12" t="s">
        <v>6</v>
      </c>
      <c r="G18" s="12" t="s">
        <v>6</v>
      </c>
      <c r="H18" s="12" t="s">
        <v>13</v>
      </c>
      <c r="I18" s="12" t="s">
        <v>6</v>
      </c>
      <c r="J18" s="12" t="s">
        <v>20</v>
      </c>
      <c r="K18" s="12" t="s">
        <v>28</v>
      </c>
      <c r="L18" s="12" t="s">
        <v>6</v>
      </c>
      <c r="M18" s="12" t="s">
        <v>6</v>
      </c>
      <c r="N18" s="12" t="s">
        <v>6</v>
      </c>
      <c r="O18" s="11" t="s">
        <v>56</v>
      </c>
      <c r="P18" s="11" t="s">
        <v>56</v>
      </c>
      <c r="Q18" s="11" t="s">
        <v>56</v>
      </c>
      <c r="R18" s="13" t="n">
        <f aca="false">IF(NOT(ISNUMBER(D18)),0,IF(D18&gt;=300,20,IF(D18&gt;=200,15,IF(D18&gt;=100,10,5))))+IF(NOT(ISNUMBER(E18)),0,IF(E18&gt;=60,10,IF(E18&gt;=40,6,3)))+IFERROR(VLOOKUP(F18,기준!$B$4:$C$7,2,FALSE()),0)</f>
        <v>0</v>
      </c>
      <c r="S18" s="13" t="n">
        <f aca="false">IFERROR(VLOOKUP(I18,기준!$B$22:$C$24,2,FALSE()),0)+IFERROR(VLOOKUP(J18,기준!$B$27:$C$30,2,FALSE()),0)+IFERROR(VLOOKUP(K18,기준!$B$33:$C$39,2,FALSE()),0)</f>
        <v>16</v>
      </c>
      <c r="T18" s="13" t="n">
        <f aca="false">IFERROR(VLOOKUP(G18,기준!$B$10:$C$13,2,FALSE()),0)+IFERROR(VLOOKUP(H18,기준!$B$16:$C$20,2,FALSE()),0)</f>
        <v>11</v>
      </c>
      <c r="U18" s="13" t="n">
        <f aca="false">IFERROR(VLOOKUP(L18,기준!$B$42:$C$44,2,FALSE()),0)+IFERROR(VLOOKUP(M18,기준!$B$47:$C$50,2,FALSE()),0)+IFERROR(VLOOKUP(N18,기준!$B$53:$C$56,2,FALSE()),0)</f>
        <v>0</v>
      </c>
      <c r="V18" s="13" t="n">
        <f aca="false">SUM(R18:U18)</f>
        <v>27</v>
      </c>
      <c r="W18" s="13" t="n">
        <f aca="false">MIN(IF(O18="Y",20,100),IF(P18="Y",40,100),IF(Q18="Y",50,100))</f>
        <v>100</v>
      </c>
      <c r="X18" s="13" t="n">
        <f aca="false">MIN(V18,W18)</f>
        <v>27</v>
      </c>
      <c r="Y18" s="13" t="n">
        <f aca="false">RANK(X18,$X$2:$X$34,0)</f>
        <v>13</v>
      </c>
      <c r="Z18" s="12" t="s">
        <v>86</v>
      </c>
      <c r="AA18" s="12" t="s">
        <v>61</v>
      </c>
      <c r="AB18" s="10" t="str">
        <f aca="false">(IF(ISNUMBER(D18),1,0)+IF(ISNUMBER(E18),1,0)+IF(F18&lt;&gt;"미상",1,0)+IF(G18&lt;&gt;"미상",1,0)+IF(H18&lt;&gt;"미상",1,0)+IF(I18&lt;&gt;"미상",1,0)+IF(J18&lt;&gt;"미상",1,0)+IF(K18&lt;&gt;"미상",1,0)+IF(L18&lt;&gt;"미상",1,0)+IF(M18&lt;&gt;"미상",1,0)+IF(N18&lt;&gt;"미상",1,0))&amp;"/11"</f>
        <v>3/11</v>
      </c>
      <c r="AC18" s="10" t="s">
        <v>97</v>
      </c>
    </row>
    <row r="19" customFormat="false" ht="17.15" hidden="false" customHeight="false" outlineLevel="0" collapsed="false">
      <c r="A19" s="10" t="n">
        <v>18</v>
      </c>
      <c r="B19" s="10" t="s">
        <v>98</v>
      </c>
      <c r="C19" s="10" t="s">
        <v>94</v>
      </c>
      <c r="D19" s="12"/>
      <c r="E19" s="12"/>
      <c r="F19" s="12" t="s">
        <v>6</v>
      </c>
      <c r="G19" s="12" t="s">
        <v>6</v>
      </c>
      <c r="H19" s="12" t="s">
        <v>13</v>
      </c>
      <c r="I19" s="12" t="s">
        <v>6</v>
      </c>
      <c r="J19" s="12" t="s">
        <v>22</v>
      </c>
      <c r="K19" s="12" t="s">
        <v>29</v>
      </c>
      <c r="L19" s="12" t="s">
        <v>6</v>
      </c>
      <c r="M19" s="12" t="s">
        <v>6</v>
      </c>
      <c r="N19" s="12" t="s">
        <v>6</v>
      </c>
      <c r="O19" s="11" t="s">
        <v>56</v>
      </c>
      <c r="P19" s="11" t="s">
        <v>56</v>
      </c>
      <c r="Q19" s="11" t="s">
        <v>56</v>
      </c>
      <c r="R19" s="13" t="n">
        <f aca="false">IF(NOT(ISNUMBER(D19)),0,IF(D19&gt;=300,20,IF(D19&gt;=200,15,IF(D19&gt;=100,10,5))))+IF(NOT(ISNUMBER(E19)),0,IF(E19&gt;=60,10,IF(E19&gt;=40,6,3)))+IFERROR(VLOOKUP(F19,기준!$B$4:$C$7,2,FALSE()),0)</f>
        <v>0</v>
      </c>
      <c r="S19" s="13" t="n">
        <f aca="false">IFERROR(VLOOKUP(I19,기준!$B$22:$C$24,2,FALSE()),0)+IFERROR(VLOOKUP(J19,기준!$B$27:$C$30,2,FALSE()),0)+IFERROR(VLOOKUP(K19,기준!$B$33:$C$39,2,FALSE()),0)</f>
        <v>2</v>
      </c>
      <c r="T19" s="13" t="n">
        <f aca="false">IFERROR(VLOOKUP(G19,기준!$B$10:$C$13,2,FALSE()),0)+IFERROR(VLOOKUP(H19,기준!$B$16:$C$20,2,FALSE()),0)</f>
        <v>11</v>
      </c>
      <c r="U19" s="13" t="n">
        <f aca="false">IFERROR(VLOOKUP(L19,기준!$B$42:$C$44,2,FALSE()),0)+IFERROR(VLOOKUP(M19,기준!$B$47:$C$50,2,FALSE()),0)+IFERROR(VLOOKUP(N19,기준!$B$53:$C$56,2,FALSE()),0)</f>
        <v>0</v>
      </c>
      <c r="V19" s="13" t="n">
        <f aca="false">SUM(R19:U19)</f>
        <v>13</v>
      </c>
      <c r="W19" s="13" t="n">
        <f aca="false">MIN(IF(O19="Y",20,100),IF(P19="Y",40,100),IF(Q19="Y",50,100))</f>
        <v>100</v>
      </c>
      <c r="X19" s="13" t="n">
        <f aca="false">MIN(V19,W19)</f>
        <v>13</v>
      </c>
      <c r="Y19" s="13" t="n">
        <f aca="false">RANK(X19,$X$2:$X$34,0)</f>
        <v>22</v>
      </c>
      <c r="Z19" s="12" t="s">
        <v>86</v>
      </c>
      <c r="AA19" s="12" t="s">
        <v>61</v>
      </c>
      <c r="AB19" s="10" t="str">
        <f aca="false">(IF(ISNUMBER(D19),1,0)+IF(ISNUMBER(E19),1,0)+IF(F19&lt;&gt;"미상",1,0)+IF(G19&lt;&gt;"미상",1,0)+IF(H19&lt;&gt;"미상",1,0)+IF(I19&lt;&gt;"미상",1,0)+IF(J19&lt;&gt;"미상",1,0)+IF(K19&lt;&gt;"미상",1,0)+IF(L19&lt;&gt;"미상",1,0)+IF(M19&lt;&gt;"미상",1,0)+IF(N19&lt;&gt;"미상",1,0))&amp;"/11"</f>
        <v>3/11</v>
      </c>
      <c r="AC19" s="10" t="s">
        <v>99</v>
      </c>
    </row>
    <row r="20" customFormat="false" ht="17.15" hidden="false" customHeight="false" outlineLevel="0" collapsed="false">
      <c r="A20" s="10" t="n">
        <v>19</v>
      </c>
      <c r="B20" s="10" t="s">
        <v>100</v>
      </c>
      <c r="C20" s="10" t="s">
        <v>94</v>
      </c>
      <c r="D20" s="12"/>
      <c r="E20" s="12"/>
      <c r="F20" s="12" t="s">
        <v>6</v>
      </c>
      <c r="G20" s="12" t="s">
        <v>6</v>
      </c>
      <c r="H20" s="12" t="s">
        <v>13</v>
      </c>
      <c r="I20" s="12" t="s">
        <v>6</v>
      </c>
      <c r="J20" s="12" t="s">
        <v>6</v>
      </c>
      <c r="K20" s="12" t="s">
        <v>6</v>
      </c>
      <c r="L20" s="12" t="s">
        <v>6</v>
      </c>
      <c r="M20" s="12" t="s">
        <v>6</v>
      </c>
      <c r="N20" s="12" t="s">
        <v>6</v>
      </c>
      <c r="O20" s="11" t="s">
        <v>56</v>
      </c>
      <c r="P20" s="11" t="s">
        <v>56</v>
      </c>
      <c r="Q20" s="11" t="s">
        <v>56</v>
      </c>
      <c r="R20" s="13" t="n">
        <f aca="false">IF(NOT(ISNUMBER(D20)),0,IF(D20&gt;=300,20,IF(D20&gt;=200,15,IF(D20&gt;=100,10,5))))+IF(NOT(ISNUMBER(E20)),0,IF(E20&gt;=60,10,IF(E20&gt;=40,6,3)))+IFERROR(VLOOKUP(F20,기준!$B$4:$C$7,2,FALSE()),0)</f>
        <v>0</v>
      </c>
      <c r="S20" s="13" t="n">
        <f aca="false">IFERROR(VLOOKUP(I20,기준!$B$22:$C$24,2,FALSE()),0)+IFERROR(VLOOKUP(J20,기준!$B$27:$C$30,2,FALSE()),0)+IFERROR(VLOOKUP(K20,기준!$B$33:$C$39,2,FALSE()),0)</f>
        <v>0</v>
      </c>
      <c r="T20" s="13" t="n">
        <f aca="false">IFERROR(VLOOKUP(G20,기준!$B$10:$C$13,2,FALSE()),0)+IFERROR(VLOOKUP(H20,기준!$B$16:$C$20,2,FALSE()),0)</f>
        <v>11</v>
      </c>
      <c r="U20" s="13" t="n">
        <f aca="false">IFERROR(VLOOKUP(L20,기준!$B$42:$C$44,2,FALSE()),0)+IFERROR(VLOOKUP(M20,기준!$B$47:$C$50,2,FALSE()),0)+IFERROR(VLOOKUP(N20,기준!$B$53:$C$56,2,FALSE()),0)</f>
        <v>0</v>
      </c>
      <c r="V20" s="13" t="n">
        <f aca="false">SUM(R20:U20)</f>
        <v>11</v>
      </c>
      <c r="W20" s="13" t="n">
        <f aca="false">MIN(IF(O20="Y",20,100),IF(P20="Y",40,100),IF(Q20="Y",50,100))</f>
        <v>100</v>
      </c>
      <c r="X20" s="13" t="n">
        <f aca="false">MIN(V20,W20)</f>
        <v>11</v>
      </c>
      <c r="Y20" s="13" t="n">
        <f aca="false">RANK(X20,$X$2:$X$34,0)</f>
        <v>23</v>
      </c>
      <c r="Z20" s="12" t="s">
        <v>6</v>
      </c>
      <c r="AA20" s="12" t="s">
        <v>61</v>
      </c>
      <c r="AB20" s="10" t="str">
        <f aca="false">(IF(ISNUMBER(D20),1,0)+IF(ISNUMBER(E20),1,0)+IF(F20&lt;&gt;"미상",1,0)+IF(G20&lt;&gt;"미상",1,0)+IF(H20&lt;&gt;"미상",1,0)+IF(I20&lt;&gt;"미상",1,0)+IF(J20&lt;&gt;"미상",1,0)+IF(K20&lt;&gt;"미상",1,0)+IF(L20&lt;&gt;"미상",1,0)+IF(M20&lt;&gt;"미상",1,0)+IF(N20&lt;&gt;"미상",1,0))&amp;"/11"</f>
        <v>1/11</v>
      </c>
      <c r="AC20" s="10" t="s">
        <v>101</v>
      </c>
    </row>
    <row r="21" customFormat="false" ht="17.15" hidden="false" customHeight="false" outlineLevel="0" collapsed="false">
      <c r="A21" s="10" t="n">
        <v>20</v>
      </c>
      <c r="B21" s="10" t="s">
        <v>102</v>
      </c>
      <c r="C21" s="10" t="s">
        <v>94</v>
      </c>
      <c r="D21" s="12"/>
      <c r="E21" s="12"/>
      <c r="F21" s="12" t="s">
        <v>6</v>
      </c>
      <c r="G21" s="12" t="s">
        <v>6</v>
      </c>
      <c r="H21" s="12" t="s">
        <v>13</v>
      </c>
      <c r="I21" s="12" t="s">
        <v>6</v>
      </c>
      <c r="J21" s="12" t="s">
        <v>6</v>
      </c>
      <c r="K21" s="12" t="s">
        <v>28</v>
      </c>
      <c r="L21" s="12" t="s">
        <v>6</v>
      </c>
      <c r="M21" s="12" t="s">
        <v>6</v>
      </c>
      <c r="N21" s="12" t="s">
        <v>6</v>
      </c>
      <c r="O21" s="11" t="s">
        <v>56</v>
      </c>
      <c r="P21" s="11" t="s">
        <v>56</v>
      </c>
      <c r="Q21" s="11" t="s">
        <v>56</v>
      </c>
      <c r="R21" s="13" t="n">
        <f aca="false">IF(NOT(ISNUMBER(D21)),0,IF(D21&gt;=300,20,IF(D21&gt;=200,15,IF(D21&gt;=100,10,5))))+IF(NOT(ISNUMBER(E21)),0,IF(E21&gt;=60,10,IF(E21&gt;=40,6,3)))+IFERROR(VLOOKUP(F21,기준!$B$4:$C$7,2,FALSE()),0)</f>
        <v>0</v>
      </c>
      <c r="S21" s="13" t="n">
        <f aca="false">IFERROR(VLOOKUP(I21,기준!$B$22:$C$24,2,FALSE()),0)+IFERROR(VLOOKUP(J21,기준!$B$27:$C$30,2,FALSE()),0)+IFERROR(VLOOKUP(K21,기준!$B$33:$C$39,2,FALSE()),0)</f>
        <v>6</v>
      </c>
      <c r="T21" s="13" t="n">
        <f aca="false">IFERROR(VLOOKUP(G21,기준!$B$10:$C$13,2,FALSE()),0)+IFERROR(VLOOKUP(H21,기준!$B$16:$C$20,2,FALSE()),0)</f>
        <v>11</v>
      </c>
      <c r="U21" s="13" t="n">
        <f aca="false">IFERROR(VLOOKUP(L21,기준!$B$42:$C$44,2,FALSE()),0)+IFERROR(VLOOKUP(M21,기준!$B$47:$C$50,2,FALSE()),0)+IFERROR(VLOOKUP(N21,기준!$B$53:$C$56,2,FALSE()),0)</f>
        <v>0</v>
      </c>
      <c r="V21" s="13" t="n">
        <f aca="false">SUM(R21:U21)</f>
        <v>17</v>
      </c>
      <c r="W21" s="13" t="n">
        <f aca="false">MIN(IF(O21="Y",20,100),IF(P21="Y",40,100),IF(Q21="Y",50,100))</f>
        <v>100</v>
      </c>
      <c r="X21" s="13" t="n">
        <f aca="false">MIN(V21,W21)</f>
        <v>17</v>
      </c>
      <c r="Y21" s="13" t="n">
        <f aca="false">RANK(X21,$X$2:$X$34,0)</f>
        <v>19</v>
      </c>
      <c r="Z21" s="12" t="s">
        <v>86</v>
      </c>
      <c r="AA21" s="12" t="s">
        <v>61</v>
      </c>
      <c r="AB21" s="10" t="str">
        <f aca="false">(IF(ISNUMBER(D21),1,0)+IF(ISNUMBER(E21),1,0)+IF(F21&lt;&gt;"미상",1,0)+IF(G21&lt;&gt;"미상",1,0)+IF(H21&lt;&gt;"미상",1,0)+IF(I21&lt;&gt;"미상",1,0)+IF(J21&lt;&gt;"미상",1,0)+IF(K21&lt;&gt;"미상",1,0)+IF(L21&lt;&gt;"미상",1,0)+IF(M21&lt;&gt;"미상",1,0)+IF(N21&lt;&gt;"미상",1,0))&amp;"/11"</f>
        <v>2/11</v>
      </c>
      <c r="AC21" s="10" t="s">
        <v>103</v>
      </c>
    </row>
    <row r="22" customFormat="false" ht="17.15" hidden="false" customHeight="false" outlineLevel="0" collapsed="false">
      <c r="A22" s="10" t="n">
        <v>21</v>
      </c>
      <c r="B22" s="10" t="s">
        <v>104</v>
      </c>
      <c r="C22" s="10" t="s">
        <v>81</v>
      </c>
      <c r="D22" s="12"/>
      <c r="E22" s="12"/>
      <c r="F22" s="12" t="s">
        <v>6</v>
      </c>
      <c r="G22" s="12" t="s">
        <v>6</v>
      </c>
      <c r="H22" s="12" t="s">
        <v>13</v>
      </c>
      <c r="I22" s="12" t="s">
        <v>6</v>
      </c>
      <c r="J22" s="12" t="s">
        <v>6</v>
      </c>
      <c r="K22" s="12" t="s">
        <v>6</v>
      </c>
      <c r="L22" s="12" t="s">
        <v>6</v>
      </c>
      <c r="M22" s="12" t="s">
        <v>6</v>
      </c>
      <c r="N22" s="12" t="s">
        <v>6</v>
      </c>
      <c r="O22" s="11" t="s">
        <v>56</v>
      </c>
      <c r="P22" s="11" t="s">
        <v>56</v>
      </c>
      <c r="Q22" s="11" t="s">
        <v>56</v>
      </c>
      <c r="R22" s="13" t="n">
        <f aca="false">IF(NOT(ISNUMBER(D22)),0,IF(D22&gt;=300,20,IF(D22&gt;=200,15,IF(D22&gt;=100,10,5))))+IF(NOT(ISNUMBER(E22)),0,IF(E22&gt;=60,10,IF(E22&gt;=40,6,3)))+IFERROR(VLOOKUP(F22,기준!$B$4:$C$7,2,FALSE()),0)</f>
        <v>0</v>
      </c>
      <c r="S22" s="13" t="n">
        <f aca="false">IFERROR(VLOOKUP(I22,기준!$B$22:$C$24,2,FALSE()),0)+IFERROR(VLOOKUP(J22,기준!$B$27:$C$30,2,FALSE()),0)+IFERROR(VLOOKUP(K22,기준!$B$33:$C$39,2,FALSE()),0)</f>
        <v>0</v>
      </c>
      <c r="T22" s="13" t="n">
        <f aca="false">IFERROR(VLOOKUP(G22,기준!$B$10:$C$13,2,FALSE()),0)+IFERROR(VLOOKUP(H22,기준!$B$16:$C$20,2,FALSE()),0)</f>
        <v>11</v>
      </c>
      <c r="U22" s="13" t="n">
        <f aca="false">IFERROR(VLOOKUP(L22,기준!$B$42:$C$44,2,FALSE()),0)+IFERROR(VLOOKUP(M22,기준!$B$47:$C$50,2,FALSE()),0)+IFERROR(VLOOKUP(N22,기준!$B$53:$C$56,2,FALSE()),0)</f>
        <v>0</v>
      </c>
      <c r="V22" s="13" t="n">
        <f aca="false">SUM(R22:U22)</f>
        <v>11</v>
      </c>
      <c r="W22" s="13" t="n">
        <f aca="false">MIN(IF(O22="Y",20,100),IF(P22="Y",40,100),IF(Q22="Y",50,100))</f>
        <v>100</v>
      </c>
      <c r="X22" s="13" t="n">
        <f aca="false">MIN(V22,W22)</f>
        <v>11</v>
      </c>
      <c r="Y22" s="13" t="n">
        <f aca="false">RANK(X22,$X$2:$X$34,0)</f>
        <v>23</v>
      </c>
      <c r="Z22" s="12" t="s">
        <v>6</v>
      </c>
      <c r="AA22" s="12" t="s">
        <v>61</v>
      </c>
      <c r="AB22" s="10" t="str">
        <f aca="false">(IF(ISNUMBER(D22),1,0)+IF(ISNUMBER(E22),1,0)+IF(F22&lt;&gt;"미상",1,0)+IF(G22&lt;&gt;"미상",1,0)+IF(H22&lt;&gt;"미상",1,0)+IF(I22&lt;&gt;"미상",1,0)+IF(J22&lt;&gt;"미상",1,0)+IF(K22&lt;&gt;"미상",1,0)+IF(L22&lt;&gt;"미상",1,0)+IF(M22&lt;&gt;"미상",1,0)+IF(N22&lt;&gt;"미상",1,0))&amp;"/11"</f>
        <v>1/11</v>
      </c>
      <c r="AC22" s="10" t="s">
        <v>105</v>
      </c>
    </row>
    <row r="23" customFormat="false" ht="17.15" hidden="false" customHeight="false" outlineLevel="0" collapsed="false">
      <c r="A23" s="10" t="n">
        <v>22</v>
      </c>
      <c r="B23" s="10" t="s">
        <v>106</v>
      </c>
      <c r="C23" s="10" t="s">
        <v>107</v>
      </c>
      <c r="D23" s="12"/>
      <c r="E23" s="12"/>
      <c r="F23" s="12" t="s">
        <v>6</v>
      </c>
      <c r="G23" s="12" t="s">
        <v>6</v>
      </c>
      <c r="H23" s="12" t="s">
        <v>6</v>
      </c>
      <c r="I23" s="12" t="s">
        <v>6</v>
      </c>
      <c r="J23" s="12" t="s">
        <v>6</v>
      </c>
      <c r="K23" s="12" t="s">
        <v>6</v>
      </c>
      <c r="L23" s="12" t="s">
        <v>6</v>
      </c>
      <c r="M23" s="12" t="s">
        <v>6</v>
      </c>
      <c r="N23" s="12" t="s">
        <v>6</v>
      </c>
      <c r="O23" s="11" t="s">
        <v>56</v>
      </c>
      <c r="P23" s="11" t="s">
        <v>56</v>
      </c>
      <c r="Q23" s="11" t="s">
        <v>56</v>
      </c>
      <c r="R23" s="13" t="n">
        <f aca="false">IF(NOT(ISNUMBER(D23)),0,IF(D23&gt;=300,20,IF(D23&gt;=200,15,IF(D23&gt;=100,10,5))))+IF(NOT(ISNUMBER(E23)),0,IF(E23&gt;=60,10,IF(E23&gt;=40,6,3)))+IFERROR(VLOOKUP(F23,기준!$B$4:$C$7,2,FALSE()),0)</f>
        <v>0</v>
      </c>
      <c r="S23" s="13" t="n">
        <f aca="false">IFERROR(VLOOKUP(I23,기준!$B$22:$C$24,2,FALSE()),0)+IFERROR(VLOOKUP(J23,기준!$B$27:$C$30,2,FALSE()),0)+IFERROR(VLOOKUP(K23,기준!$B$33:$C$39,2,FALSE()),0)</f>
        <v>0</v>
      </c>
      <c r="T23" s="13" t="n">
        <f aca="false">IFERROR(VLOOKUP(G23,기준!$B$10:$C$13,2,FALSE()),0)+IFERROR(VLOOKUP(H23,기준!$B$16:$C$20,2,FALSE()),0)</f>
        <v>8</v>
      </c>
      <c r="U23" s="13" t="n">
        <f aca="false">IFERROR(VLOOKUP(L23,기준!$B$42:$C$44,2,FALSE()),0)+IFERROR(VLOOKUP(M23,기준!$B$47:$C$50,2,FALSE()),0)+IFERROR(VLOOKUP(N23,기준!$B$53:$C$56,2,FALSE()),0)</f>
        <v>0</v>
      </c>
      <c r="V23" s="13" t="n">
        <f aca="false">SUM(R23:U23)</f>
        <v>8</v>
      </c>
      <c r="W23" s="13" t="n">
        <f aca="false">MIN(IF(O23="Y",20,100),IF(P23="Y",40,100),IF(Q23="Y",50,100))</f>
        <v>100</v>
      </c>
      <c r="X23" s="13" t="n">
        <f aca="false">MIN(V23,W23)</f>
        <v>8</v>
      </c>
      <c r="Y23" s="13" t="n">
        <f aca="false">RANK(X23,$X$2:$X$34,0)</f>
        <v>25</v>
      </c>
      <c r="Z23" s="12" t="s">
        <v>86</v>
      </c>
      <c r="AA23" s="12" t="s">
        <v>108</v>
      </c>
      <c r="AB23" s="10" t="str">
        <f aca="false">(IF(ISNUMBER(D23),1,0)+IF(ISNUMBER(E23),1,0)+IF(F23&lt;&gt;"미상",1,0)+IF(G23&lt;&gt;"미상",1,0)+IF(H23&lt;&gt;"미상",1,0)+IF(I23&lt;&gt;"미상",1,0)+IF(J23&lt;&gt;"미상",1,0)+IF(K23&lt;&gt;"미상",1,0)+IF(L23&lt;&gt;"미상",1,0)+IF(M23&lt;&gt;"미상",1,0)+IF(N23&lt;&gt;"미상",1,0))&amp;"/11"</f>
        <v>0/11</v>
      </c>
      <c r="AC23" s="10" t="s">
        <v>109</v>
      </c>
    </row>
    <row r="24" customFormat="false" ht="17.15" hidden="false" customHeight="false" outlineLevel="0" collapsed="false">
      <c r="A24" s="10" t="n">
        <v>23</v>
      </c>
      <c r="B24" s="10" t="s">
        <v>110</v>
      </c>
      <c r="C24" s="10" t="s">
        <v>107</v>
      </c>
      <c r="D24" s="12"/>
      <c r="E24" s="12"/>
      <c r="F24" s="12" t="s">
        <v>6</v>
      </c>
      <c r="G24" s="11" t="s">
        <v>8</v>
      </c>
      <c r="H24" s="12" t="s">
        <v>15</v>
      </c>
      <c r="I24" s="12" t="s">
        <v>6</v>
      </c>
      <c r="J24" s="12" t="s">
        <v>6</v>
      </c>
      <c r="K24" s="12" t="s">
        <v>6</v>
      </c>
      <c r="L24" s="12" t="s">
        <v>6</v>
      </c>
      <c r="M24" s="12" t="s">
        <v>6</v>
      </c>
      <c r="N24" s="12" t="s">
        <v>6</v>
      </c>
      <c r="O24" s="11" t="s">
        <v>56</v>
      </c>
      <c r="P24" s="11" t="s">
        <v>56</v>
      </c>
      <c r="Q24" s="11" t="s">
        <v>56</v>
      </c>
      <c r="R24" s="13" t="n">
        <f aca="false">IF(NOT(ISNUMBER(D24)),0,IF(D24&gt;=300,20,IF(D24&gt;=200,15,IF(D24&gt;=100,10,5))))+IF(NOT(ISNUMBER(E24)),0,IF(E24&gt;=60,10,IF(E24&gt;=40,6,3)))+IFERROR(VLOOKUP(F24,기준!$B$4:$C$7,2,FALSE()),0)</f>
        <v>0</v>
      </c>
      <c r="S24" s="13" t="n">
        <f aca="false">IFERROR(VLOOKUP(I24,기준!$B$22:$C$24,2,FALSE()),0)+IFERROR(VLOOKUP(J24,기준!$B$27:$C$30,2,FALSE()),0)+IFERROR(VLOOKUP(K24,기준!$B$33:$C$39,2,FALSE()),0)</f>
        <v>0</v>
      </c>
      <c r="T24" s="13" t="n">
        <f aca="false">IFERROR(VLOOKUP(G24,기준!$B$10:$C$13,2,FALSE()),0)+IFERROR(VLOOKUP(H24,기준!$B$16:$C$20,2,FALSE()),0)</f>
        <v>18</v>
      </c>
      <c r="U24" s="13" t="n">
        <f aca="false">IFERROR(VLOOKUP(L24,기준!$B$42:$C$44,2,FALSE()),0)+IFERROR(VLOOKUP(M24,기준!$B$47:$C$50,2,FALSE()),0)+IFERROR(VLOOKUP(N24,기준!$B$53:$C$56,2,FALSE()),0)</f>
        <v>0</v>
      </c>
      <c r="V24" s="13" t="n">
        <f aca="false">SUM(R24:U24)</f>
        <v>18</v>
      </c>
      <c r="W24" s="13" t="n">
        <f aca="false">MIN(IF(O24="Y",20,100),IF(P24="Y",40,100),IF(Q24="Y",50,100))</f>
        <v>100</v>
      </c>
      <c r="X24" s="13" t="n">
        <f aca="false">MIN(V24,W24)</f>
        <v>18</v>
      </c>
      <c r="Y24" s="13" t="n">
        <f aca="false">RANK(X24,$X$2:$X$34,0)</f>
        <v>17</v>
      </c>
      <c r="Z24" s="12" t="s">
        <v>86</v>
      </c>
      <c r="AA24" s="11" t="s">
        <v>111</v>
      </c>
      <c r="AB24" s="10" t="str">
        <f aca="false">(IF(ISNUMBER(D24),1,0)+IF(ISNUMBER(E24),1,0)+IF(F24&lt;&gt;"미상",1,0)+IF(G24&lt;&gt;"미상",1,0)+IF(H24&lt;&gt;"미상",1,0)+IF(I24&lt;&gt;"미상",1,0)+IF(J24&lt;&gt;"미상",1,0)+IF(K24&lt;&gt;"미상",1,0)+IF(L24&lt;&gt;"미상",1,0)+IF(M24&lt;&gt;"미상",1,0)+IF(N24&lt;&gt;"미상",1,0))&amp;"/11"</f>
        <v>2/11</v>
      </c>
      <c r="AC24" s="10" t="s">
        <v>112</v>
      </c>
    </row>
    <row r="25" customFormat="false" ht="17.15" hidden="false" customHeight="false" outlineLevel="0" collapsed="false">
      <c r="A25" s="10" t="n">
        <v>24</v>
      </c>
      <c r="B25" s="9" t="s">
        <v>113</v>
      </c>
      <c r="C25" s="10" t="s">
        <v>114</v>
      </c>
      <c r="D25" s="12"/>
      <c r="E25" s="12"/>
      <c r="F25" s="12" t="s">
        <v>6</v>
      </c>
      <c r="G25" s="12" t="s">
        <v>6</v>
      </c>
      <c r="H25" s="12" t="s">
        <v>6</v>
      </c>
      <c r="I25" s="12" t="s">
        <v>6</v>
      </c>
      <c r="J25" s="12" t="s">
        <v>6</v>
      </c>
      <c r="K25" s="12" t="s">
        <v>6</v>
      </c>
      <c r="L25" s="12" t="s">
        <v>6</v>
      </c>
      <c r="M25" s="12" t="s">
        <v>6</v>
      </c>
      <c r="N25" s="12" t="s">
        <v>6</v>
      </c>
      <c r="O25" s="11" t="s">
        <v>56</v>
      </c>
      <c r="P25" s="11" t="s">
        <v>56</v>
      </c>
      <c r="Q25" s="11" t="s">
        <v>56</v>
      </c>
      <c r="R25" s="13" t="n">
        <f aca="false">IF(NOT(ISNUMBER(D25)),0,IF(D25&gt;=300,20,IF(D25&gt;=200,15,IF(D25&gt;=100,10,5))))+IF(NOT(ISNUMBER(E25)),0,IF(E25&gt;=60,10,IF(E25&gt;=40,6,3)))+IFERROR(VLOOKUP(F25,기준!$B$4:$C$7,2,FALSE()),0)</f>
        <v>0</v>
      </c>
      <c r="S25" s="13" t="n">
        <f aca="false">IFERROR(VLOOKUP(I25,기준!$B$22:$C$24,2,FALSE()),0)+IFERROR(VLOOKUP(J25,기준!$B$27:$C$30,2,FALSE()),0)+IFERROR(VLOOKUP(K25,기준!$B$33:$C$39,2,FALSE()),0)</f>
        <v>0</v>
      </c>
      <c r="T25" s="13" t="n">
        <f aca="false">IFERROR(VLOOKUP(G25,기준!$B$10:$C$13,2,FALSE()),0)+IFERROR(VLOOKUP(H25,기준!$B$16:$C$20,2,FALSE()),0)</f>
        <v>8</v>
      </c>
      <c r="U25" s="13" t="n">
        <f aca="false">IFERROR(VLOOKUP(L25,기준!$B$42:$C$44,2,FALSE()),0)+IFERROR(VLOOKUP(M25,기준!$B$47:$C$50,2,FALSE()),0)+IFERROR(VLOOKUP(N25,기준!$B$53:$C$56,2,FALSE()),0)</f>
        <v>0</v>
      </c>
      <c r="V25" s="13" t="n">
        <f aca="false">SUM(R25:U25)</f>
        <v>8</v>
      </c>
      <c r="W25" s="13" t="n">
        <f aca="false">MIN(IF(O25="Y",20,100),IF(P25="Y",40,100),IF(Q25="Y",50,100))</f>
        <v>100</v>
      </c>
      <c r="X25" s="13" t="n">
        <f aca="false">MIN(V25,W25)</f>
        <v>8</v>
      </c>
      <c r="Y25" s="13" t="n">
        <f aca="false">RANK(X25,$X$2:$X$34,0)</f>
        <v>25</v>
      </c>
      <c r="Z25" s="12" t="s">
        <v>6</v>
      </c>
      <c r="AA25" s="12" t="s">
        <v>61</v>
      </c>
      <c r="AB25" s="10" t="str">
        <f aca="false">(IF(ISNUMBER(D25),1,0)+IF(ISNUMBER(E25),1,0)+IF(F25&lt;&gt;"미상",1,0)+IF(G25&lt;&gt;"미상",1,0)+IF(H25&lt;&gt;"미상",1,0)+IF(I25&lt;&gt;"미상",1,0)+IF(J25&lt;&gt;"미상",1,0)+IF(K25&lt;&gt;"미상",1,0)+IF(L25&lt;&gt;"미상",1,0)+IF(M25&lt;&gt;"미상",1,0)+IF(N25&lt;&gt;"미상",1,0))&amp;"/11"</f>
        <v>0/11</v>
      </c>
      <c r="AC25" s="10" t="s">
        <v>115</v>
      </c>
    </row>
    <row r="26" customFormat="false" ht="17.15" hidden="false" customHeight="false" outlineLevel="0" collapsed="false">
      <c r="A26" s="10" t="n">
        <v>25</v>
      </c>
      <c r="B26" s="9" t="s">
        <v>116</v>
      </c>
      <c r="C26" s="10" t="s">
        <v>114</v>
      </c>
      <c r="D26" s="12"/>
      <c r="E26" s="12"/>
      <c r="F26" s="12" t="s">
        <v>6</v>
      </c>
      <c r="G26" s="12" t="s">
        <v>6</v>
      </c>
      <c r="H26" s="12" t="s">
        <v>6</v>
      </c>
      <c r="I26" s="12" t="s">
        <v>6</v>
      </c>
      <c r="J26" s="12" t="s">
        <v>6</v>
      </c>
      <c r="K26" s="12" t="s">
        <v>6</v>
      </c>
      <c r="L26" s="12" t="s">
        <v>6</v>
      </c>
      <c r="M26" s="12" t="s">
        <v>6</v>
      </c>
      <c r="N26" s="12" t="s">
        <v>6</v>
      </c>
      <c r="O26" s="11" t="s">
        <v>56</v>
      </c>
      <c r="P26" s="11" t="s">
        <v>56</v>
      </c>
      <c r="Q26" s="11" t="s">
        <v>56</v>
      </c>
      <c r="R26" s="13" t="n">
        <f aca="false">IF(NOT(ISNUMBER(D26)),0,IF(D26&gt;=300,20,IF(D26&gt;=200,15,IF(D26&gt;=100,10,5))))+IF(NOT(ISNUMBER(E26)),0,IF(E26&gt;=60,10,IF(E26&gt;=40,6,3)))+IFERROR(VLOOKUP(F26,기준!$B$4:$C$7,2,FALSE()),0)</f>
        <v>0</v>
      </c>
      <c r="S26" s="13" t="n">
        <f aca="false">IFERROR(VLOOKUP(I26,기준!$B$22:$C$24,2,FALSE()),0)+IFERROR(VLOOKUP(J26,기준!$B$27:$C$30,2,FALSE()),0)+IFERROR(VLOOKUP(K26,기준!$B$33:$C$39,2,FALSE()),0)</f>
        <v>0</v>
      </c>
      <c r="T26" s="13" t="n">
        <f aca="false">IFERROR(VLOOKUP(G26,기준!$B$10:$C$13,2,FALSE()),0)+IFERROR(VLOOKUP(H26,기준!$B$16:$C$20,2,FALSE()),0)</f>
        <v>8</v>
      </c>
      <c r="U26" s="13" t="n">
        <f aca="false">IFERROR(VLOOKUP(L26,기준!$B$42:$C$44,2,FALSE()),0)+IFERROR(VLOOKUP(M26,기준!$B$47:$C$50,2,FALSE()),0)+IFERROR(VLOOKUP(N26,기준!$B$53:$C$56,2,FALSE()),0)</f>
        <v>0</v>
      </c>
      <c r="V26" s="13" t="n">
        <f aca="false">SUM(R26:U26)</f>
        <v>8</v>
      </c>
      <c r="W26" s="13" t="n">
        <f aca="false">MIN(IF(O26="Y",20,100),IF(P26="Y",40,100),IF(Q26="Y",50,100))</f>
        <v>100</v>
      </c>
      <c r="X26" s="13" t="n">
        <f aca="false">MIN(V26,W26)</f>
        <v>8</v>
      </c>
      <c r="Y26" s="13" t="n">
        <f aca="false">RANK(X26,$X$2:$X$34,0)</f>
        <v>25</v>
      </c>
      <c r="Z26" s="12" t="s">
        <v>6</v>
      </c>
      <c r="AA26" s="12" t="s">
        <v>61</v>
      </c>
      <c r="AB26" s="10" t="str">
        <f aca="false">(IF(ISNUMBER(D26),1,0)+IF(ISNUMBER(E26),1,0)+IF(F26&lt;&gt;"미상",1,0)+IF(G26&lt;&gt;"미상",1,0)+IF(H26&lt;&gt;"미상",1,0)+IF(I26&lt;&gt;"미상",1,0)+IF(J26&lt;&gt;"미상",1,0)+IF(K26&lt;&gt;"미상",1,0)+IF(L26&lt;&gt;"미상",1,0)+IF(M26&lt;&gt;"미상",1,0)+IF(N26&lt;&gt;"미상",1,0))&amp;"/11"</f>
        <v>0/11</v>
      </c>
      <c r="AC26" s="10" t="s">
        <v>117</v>
      </c>
    </row>
    <row r="27" customFormat="false" ht="17.15" hidden="false" customHeight="false" outlineLevel="0" collapsed="false">
      <c r="A27" s="10" t="n">
        <v>26</v>
      </c>
      <c r="B27" s="10" t="s">
        <v>118</v>
      </c>
      <c r="C27" s="10" t="s">
        <v>119</v>
      </c>
      <c r="D27" s="12" t="n">
        <v>937</v>
      </c>
      <c r="E27" s="12" t="n">
        <v>75</v>
      </c>
      <c r="F27" s="12" t="s">
        <v>3</v>
      </c>
      <c r="G27" s="11" t="s">
        <v>9</v>
      </c>
      <c r="H27" s="12" t="s">
        <v>12</v>
      </c>
      <c r="I27" s="12" t="s">
        <v>6</v>
      </c>
      <c r="J27" s="12" t="s">
        <v>22</v>
      </c>
      <c r="K27" s="12" t="s">
        <v>25</v>
      </c>
      <c r="L27" s="12" t="s">
        <v>17</v>
      </c>
      <c r="M27" s="12" t="s">
        <v>4</v>
      </c>
      <c r="N27" s="12" t="s">
        <v>3</v>
      </c>
      <c r="O27" s="11" t="s">
        <v>56</v>
      </c>
      <c r="P27" s="11" t="s">
        <v>56</v>
      </c>
      <c r="Q27" s="11" t="s">
        <v>56</v>
      </c>
      <c r="R27" s="13" t="n">
        <f aca="false">IF(NOT(ISNUMBER(D27)),0,IF(D27&gt;=300,20,IF(D27&gt;=200,15,IF(D27&gt;=100,10,5))))+IF(NOT(ISNUMBER(E27)),0,IF(E27&gt;=60,10,IF(E27&gt;=40,6,3)))+IFERROR(VLOOKUP(F27,기준!$B$4:$C$7,2,FALSE()),0)</f>
        <v>35</v>
      </c>
      <c r="S27" s="13" t="n">
        <f aca="false">IFERROR(VLOOKUP(I27,기준!$B$22:$C$24,2,FALSE()),0)+IFERROR(VLOOKUP(J27,기준!$B$27:$C$30,2,FALSE()),0)+IFERROR(VLOOKUP(K27,기준!$B$33:$C$39,2,FALSE()),0)</f>
        <v>10</v>
      </c>
      <c r="T27" s="13" t="n">
        <f aca="false">IFERROR(VLOOKUP(G27,기준!$B$10:$C$13,2,FALSE()),0)+IFERROR(VLOOKUP(H27,기준!$B$16:$C$20,2,FALSE()),0)</f>
        <v>20</v>
      </c>
      <c r="U27" s="13" t="n">
        <f aca="false">IFERROR(VLOOKUP(L27,기준!$B$42:$C$44,2,FALSE()),0)+IFERROR(VLOOKUP(M27,기준!$B$47:$C$50,2,FALSE()),0)+IFERROR(VLOOKUP(N27,기준!$B$53:$C$56,2,FALSE()),0)</f>
        <v>12</v>
      </c>
      <c r="V27" s="13" t="n">
        <f aca="false">SUM(R27:U27)</f>
        <v>77</v>
      </c>
      <c r="W27" s="13" t="n">
        <f aca="false">MIN(IF(O27="Y",20,100),IF(P27="Y",40,100),IF(Q27="Y",50,100))</f>
        <v>100</v>
      </c>
      <c r="X27" s="13" t="n">
        <f aca="false">MIN(V27,W27)</f>
        <v>77</v>
      </c>
      <c r="Y27" s="13" t="n">
        <f aca="false">RANK(X27,$X$2:$X$34,0)</f>
        <v>6</v>
      </c>
      <c r="Z27" s="12" t="s">
        <v>57</v>
      </c>
      <c r="AA27" s="12" t="s">
        <v>61</v>
      </c>
      <c r="AB27" s="10" t="str">
        <f aca="false">(IF(ISNUMBER(D27),1,0)+IF(ISNUMBER(E27),1,0)+IF(F27&lt;&gt;"미상",1,0)+IF(G27&lt;&gt;"미상",1,0)+IF(H27&lt;&gt;"미상",1,0)+IF(I27&lt;&gt;"미상",1,0)+IF(J27&lt;&gt;"미상",1,0)+IF(K27&lt;&gt;"미상",1,0)+IF(L27&lt;&gt;"미상",1,0)+IF(M27&lt;&gt;"미상",1,0)+IF(N27&lt;&gt;"미상",1,0))&amp;"/11"</f>
        <v>10/11</v>
      </c>
      <c r="AC27" s="9" t="s">
        <v>120</v>
      </c>
    </row>
    <row r="28" customFormat="false" ht="17.15" hidden="false" customHeight="false" outlineLevel="0" collapsed="false">
      <c r="A28" s="10" t="n">
        <v>27</v>
      </c>
      <c r="B28" s="10" t="s">
        <v>121</v>
      </c>
      <c r="C28" s="10" t="s">
        <v>119</v>
      </c>
      <c r="D28" s="12" t="n">
        <v>300</v>
      </c>
      <c r="E28" s="12"/>
      <c r="F28" s="12" t="s">
        <v>3</v>
      </c>
      <c r="G28" s="11" t="s">
        <v>8</v>
      </c>
      <c r="H28" s="12" t="s">
        <v>6</v>
      </c>
      <c r="I28" s="12" t="s">
        <v>6</v>
      </c>
      <c r="J28" s="12" t="s">
        <v>6</v>
      </c>
      <c r="K28" s="12" t="s">
        <v>24</v>
      </c>
      <c r="L28" s="12" t="s">
        <v>6</v>
      </c>
      <c r="M28" s="12" t="s">
        <v>6</v>
      </c>
      <c r="N28" s="12" t="s">
        <v>3</v>
      </c>
      <c r="O28" s="11" t="s">
        <v>56</v>
      </c>
      <c r="P28" s="11" t="s">
        <v>56</v>
      </c>
      <c r="Q28" s="11" t="s">
        <v>56</v>
      </c>
      <c r="R28" s="13" t="n">
        <f aca="false">IF(NOT(ISNUMBER(D28)),0,IF(D28&gt;=300,20,IF(D28&gt;=200,15,IF(D28&gt;=100,10,5))))+IF(NOT(ISNUMBER(E28)),0,IF(E28&gt;=60,10,IF(E28&gt;=40,6,3)))+IFERROR(VLOOKUP(F28,기준!$B$4:$C$7,2,FALSE()),0)</f>
        <v>25</v>
      </c>
      <c r="S28" s="13" t="n">
        <f aca="false">IFERROR(VLOOKUP(I28,기준!$B$22:$C$24,2,FALSE()),0)+IFERROR(VLOOKUP(J28,기준!$B$27:$C$30,2,FALSE()),0)+IFERROR(VLOOKUP(K28,기준!$B$33:$C$39,2,FALSE()),0)</f>
        <v>10</v>
      </c>
      <c r="T28" s="13" t="n">
        <f aca="false">IFERROR(VLOOKUP(G28,기준!$B$10:$C$13,2,FALSE()),0)+IFERROR(VLOOKUP(H28,기준!$B$16:$C$20,2,FALSE()),0)</f>
        <v>13</v>
      </c>
      <c r="U28" s="13" t="n">
        <f aca="false">IFERROR(VLOOKUP(L28,기준!$B$42:$C$44,2,FALSE()),0)+IFERROR(VLOOKUP(M28,기준!$B$47:$C$50,2,FALSE()),0)+IFERROR(VLOOKUP(N28,기준!$B$53:$C$56,2,FALSE()),0)</f>
        <v>4</v>
      </c>
      <c r="V28" s="13" t="n">
        <f aca="false">SUM(R28:U28)</f>
        <v>52</v>
      </c>
      <c r="W28" s="13" t="n">
        <f aca="false">MIN(IF(O28="Y",20,100),IF(P28="Y",40,100),IF(Q28="Y",50,100))</f>
        <v>100</v>
      </c>
      <c r="X28" s="13" t="n">
        <f aca="false">MIN(V28,W28)</f>
        <v>52</v>
      </c>
      <c r="Y28" s="13" t="n">
        <f aca="false">RANK(X28,$X$2:$X$34,0)</f>
        <v>8</v>
      </c>
      <c r="Z28" s="12" t="s">
        <v>86</v>
      </c>
      <c r="AA28" s="12" t="s">
        <v>61</v>
      </c>
      <c r="AB28" s="10" t="str">
        <f aca="false">(IF(ISNUMBER(D28),1,0)+IF(ISNUMBER(E28),1,0)+IF(F28&lt;&gt;"미상",1,0)+IF(G28&lt;&gt;"미상",1,0)+IF(H28&lt;&gt;"미상",1,0)+IF(I28&lt;&gt;"미상",1,0)+IF(J28&lt;&gt;"미상",1,0)+IF(K28&lt;&gt;"미상",1,0)+IF(L28&lt;&gt;"미상",1,0)+IF(M28&lt;&gt;"미상",1,0)+IF(N28&lt;&gt;"미상",1,0))&amp;"/11"</f>
        <v>5/11</v>
      </c>
      <c r="AC28" s="9" t="s">
        <v>122</v>
      </c>
    </row>
    <row r="29" customFormat="false" ht="17.15" hidden="false" customHeight="false" outlineLevel="0" collapsed="false">
      <c r="A29" s="10" t="n">
        <v>28</v>
      </c>
      <c r="B29" s="10" t="s">
        <v>123</v>
      </c>
      <c r="C29" s="10" t="s">
        <v>119</v>
      </c>
      <c r="D29" s="12"/>
      <c r="E29" s="12"/>
      <c r="F29" s="12" t="s">
        <v>6</v>
      </c>
      <c r="G29" s="11" t="s">
        <v>8</v>
      </c>
      <c r="H29" s="12" t="s">
        <v>6</v>
      </c>
      <c r="I29" s="12" t="s">
        <v>6</v>
      </c>
      <c r="J29" s="12" t="s">
        <v>6</v>
      </c>
      <c r="K29" s="12" t="s">
        <v>24</v>
      </c>
      <c r="L29" s="12" t="s">
        <v>6</v>
      </c>
      <c r="M29" s="12" t="s">
        <v>6</v>
      </c>
      <c r="N29" s="12" t="s">
        <v>6</v>
      </c>
      <c r="O29" s="11" t="s">
        <v>56</v>
      </c>
      <c r="P29" s="11" t="s">
        <v>56</v>
      </c>
      <c r="Q29" s="11" t="s">
        <v>56</v>
      </c>
      <c r="R29" s="13" t="n">
        <f aca="false">IF(NOT(ISNUMBER(D29)),0,IF(D29&gt;=300,20,IF(D29&gt;=200,15,IF(D29&gt;=100,10,5))))+IF(NOT(ISNUMBER(E29)),0,IF(E29&gt;=60,10,IF(E29&gt;=40,6,3)))+IFERROR(VLOOKUP(F29,기준!$B$4:$C$7,2,FALSE()),0)</f>
        <v>0</v>
      </c>
      <c r="S29" s="13" t="n">
        <f aca="false">IFERROR(VLOOKUP(I29,기준!$B$22:$C$24,2,FALSE()),0)+IFERROR(VLOOKUP(J29,기준!$B$27:$C$30,2,FALSE()),0)+IFERROR(VLOOKUP(K29,기준!$B$33:$C$39,2,FALSE()),0)</f>
        <v>10</v>
      </c>
      <c r="T29" s="13" t="n">
        <f aca="false">IFERROR(VLOOKUP(G29,기준!$B$10:$C$13,2,FALSE()),0)+IFERROR(VLOOKUP(H29,기준!$B$16:$C$20,2,FALSE()),0)</f>
        <v>13</v>
      </c>
      <c r="U29" s="13" t="n">
        <f aca="false">IFERROR(VLOOKUP(L29,기준!$B$42:$C$44,2,FALSE()),0)+IFERROR(VLOOKUP(M29,기준!$B$47:$C$50,2,FALSE()),0)+IFERROR(VLOOKUP(N29,기준!$B$53:$C$56,2,FALSE()),0)</f>
        <v>0</v>
      </c>
      <c r="V29" s="13" t="n">
        <f aca="false">SUM(R29:U29)</f>
        <v>23</v>
      </c>
      <c r="W29" s="13" t="n">
        <f aca="false">MIN(IF(O29="Y",20,100),IF(P29="Y",40,100),IF(Q29="Y",50,100))</f>
        <v>100</v>
      </c>
      <c r="X29" s="13" t="n">
        <f aca="false">MIN(V29,W29)</f>
        <v>23</v>
      </c>
      <c r="Y29" s="13" t="n">
        <f aca="false">RANK(X29,$X$2:$X$34,0)</f>
        <v>15</v>
      </c>
      <c r="Z29" s="12" t="s">
        <v>6</v>
      </c>
      <c r="AA29" s="12" t="s">
        <v>61</v>
      </c>
      <c r="AB29" s="10" t="str">
        <f aca="false">(IF(ISNUMBER(D29),1,0)+IF(ISNUMBER(E29),1,0)+IF(F29&lt;&gt;"미상",1,0)+IF(G29&lt;&gt;"미상",1,0)+IF(H29&lt;&gt;"미상",1,0)+IF(I29&lt;&gt;"미상",1,0)+IF(J29&lt;&gt;"미상",1,0)+IF(K29&lt;&gt;"미상",1,0)+IF(L29&lt;&gt;"미상",1,0)+IF(M29&lt;&gt;"미상",1,0)+IF(N29&lt;&gt;"미상",1,0))&amp;"/11"</f>
        <v>2/11</v>
      </c>
      <c r="AC29" s="9" t="s">
        <v>124</v>
      </c>
    </row>
    <row r="30" customFormat="false" ht="17.15" hidden="false" customHeight="false" outlineLevel="0" collapsed="false">
      <c r="A30" s="10" t="n">
        <v>29</v>
      </c>
      <c r="B30" s="10" t="s">
        <v>125</v>
      </c>
      <c r="C30" s="10" t="s">
        <v>119</v>
      </c>
      <c r="D30" s="12"/>
      <c r="E30" s="12"/>
      <c r="F30" s="12" t="s">
        <v>6</v>
      </c>
      <c r="G30" s="11" t="s">
        <v>8</v>
      </c>
      <c r="H30" s="12" t="s">
        <v>12</v>
      </c>
      <c r="I30" s="12" t="s">
        <v>6</v>
      </c>
      <c r="J30" s="12" t="s">
        <v>6</v>
      </c>
      <c r="K30" s="12" t="s">
        <v>24</v>
      </c>
      <c r="L30" s="12" t="s">
        <v>17</v>
      </c>
      <c r="M30" s="12" t="s">
        <v>6</v>
      </c>
      <c r="N30" s="12" t="s">
        <v>6</v>
      </c>
      <c r="O30" s="11" t="s">
        <v>56</v>
      </c>
      <c r="P30" s="11" t="s">
        <v>56</v>
      </c>
      <c r="Q30" s="11" t="s">
        <v>56</v>
      </c>
      <c r="R30" s="13" t="n">
        <f aca="false">IF(NOT(ISNUMBER(D30)),0,IF(D30&gt;=300,20,IF(D30&gt;=200,15,IF(D30&gt;=100,10,5))))+IF(NOT(ISNUMBER(E30)),0,IF(E30&gt;=60,10,IF(E30&gt;=40,6,3)))+IFERROR(VLOOKUP(F30,기준!$B$4:$C$7,2,FALSE()),0)</f>
        <v>0</v>
      </c>
      <c r="S30" s="13" t="n">
        <f aca="false">IFERROR(VLOOKUP(I30,기준!$B$22:$C$24,2,FALSE()),0)+IFERROR(VLOOKUP(J30,기준!$B$27:$C$30,2,FALSE()),0)+IFERROR(VLOOKUP(K30,기준!$B$33:$C$39,2,FALSE()),0)</f>
        <v>10</v>
      </c>
      <c r="T30" s="13" t="n">
        <f aca="false">IFERROR(VLOOKUP(G30,기준!$B$10:$C$13,2,FALSE()),0)+IFERROR(VLOOKUP(H30,기준!$B$16:$C$20,2,FALSE()),0)</f>
        <v>20</v>
      </c>
      <c r="U30" s="13" t="n">
        <f aca="false">IFERROR(VLOOKUP(L30,기준!$B$42:$C$44,2,FALSE()),0)+IFERROR(VLOOKUP(M30,기준!$B$47:$C$50,2,FALSE()),0)+IFERROR(VLOOKUP(N30,기준!$B$53:$C$56,2,FALSE()),0)</f>
        <v>5</v>
      </c>
      <c r="V30" s="13" t="n">
        <f aca="false">SUM(R30:U30)</f>
        <v>35</v>
      </c>
      <c r="W30" s="13" t="n">
        <f aca="false">MIN(IF(O30="Y",20,100),IF(P30="Y",40,100),IF(Q30="Y",50,100))</f>
        <v>100</v>
      </c>
      <c r="X30" s="13" t="n">
        <f aca="false">MIN(V30,W30)</f>
        <v>35</v>
      </c>
      <c r="Y30" s="13" t="n">
        <f aca="false">RANK(X30,$X$2:$X$34,0)</f>
        <v>11</v>
      </c>
      <c r="Z30" s="12" t="s">
        <v>86</v>
      </c>
      <c r="AA30" s="12" t="s">
        <v>61</v>
      </c>
      <c r="AB30" s="10" t="str">
        <f aca="false">(IF(ISNUMBER(D30),1,0)+IF(ISNUMBER(E30),1,0)+IF(F30&lt;&gt;"미상",1,0)+IF(G30&lt;&gt;"미상",1,0)+IF(H30&lt;&gt;"미상",1,0)+IF(I30&lt;&gt;"미상",1,0)+IF(J30&lt;&gt;"미상",1,0)+IF(K30&lt;&gt;"미상",1,0)+IF(L30&lt;&gt;"미상",1,0)+IF(M30&lt;&gt;"미상",1,0)+IF(N30&lt;&gt;"미상",1,0))&amp;"/11"</f>
        <v>4/11</v>
      </c>
      <c r="AC30" s="9" t="s">
        <v>126</v>
      </c>
    </row>
    <row r="31" customFormat="false" ht="17.15" hidden="false" customHeight="false" outlineLevel="0" collapsed="false">
      <c r="A31" s="10" t="n">
        <v>30</v>
      </c>
      <c r="B31" s="10" t="s">
        <v>127</v>
      </c>
      <c r="C31" s="10" t="s">
        <v>119</v>
      </c>
      <c r="D31" s="12" t="n">
        <v>980</v>
      </c>
      <c r="E31" s="12"/>
      <c r="F31" s="12" t="s">
        <v>6</v>
      </c>
      <c r="G31" s="11" t="s">
        <v>8</v>
      </c>
      <c r="H31" s="12" t="s">
        <v>6</v>
      </c>
      <c r="I31" s="12" t="s">
        <v>6</v>
      </c>
      <c r="J31" s="12" t="s">
        <v>6</v>
      </c>
      <c r="K31" s="12" t="s">
        <v>24</v>
      </c>
      <c r="L31" s="12" t="s">
        <v>17</v>
      </c>
      <c r="M31" s="12" t="s">
        <v>6</v>
      </c>
      <c r="N31" s="12" t="s">
        <v>6</v>
      </c>
      <c r="O31" s="11" t="s">
        <v>56</v>
      </c>
      <c r="P31" s="11" t="s">
        <v>56</v>
      </c>
      <c r="Q31" s="11" t="s">
        <v>56</v>
      </c>
      <c r="R31" s="13" t="n">
        <f aca="false">IF(NOT(ISNUMBER(D31)),0,IF(D31&gt;=300,20,IF(D31&gt;=200,15,IF(D31&gt;=100,10,5))))+IF(NOT(ISNUMBER(E31)),0,IF(E31&gt;=60,10,IF(E31&gt;=40,6,3)))+IFERROR(VLOOKUP(F31,기준!$B$4:$C$7,2,FALSE()),0)</f>
        <v>20</v>
      </c>
      <c r="S31" s="13" t="n">
        <f aca="false">IFERROR(VLOOKUP(I31,기준!$B$22:$C$24,2,FALSE()),0)+IFERROR(VLOOKUP(J31,기준!$B$27:$C$30,2,FALSE()),0)+IFERROR(VLOOKUP(K31,기준!$B$33:$C$39,2,FALSE()),0)</f>
        <v>10</v>
      </c>
      <c r="T31" s="13" t="n">
        <f aca="false">IFERROR(VLOOKUP(G31,기준!$B$10:$C$13,2,FALSE()),0)+IFERROR(VLOOKUP(H31,기준!$B$16:$C$20,2,FALSE()),0)</f>
        <v>13</v>
      </c>
      <c r="U31" s="13" t="n">
        <f aca="false">IFERROR(VLOOKUP(L31,기준!$B$42:$C$44,2,FALSE()),0)+IFERROR(VLOOKUP(M31,기준!$B$47:$C$50,2,FALSE()),0)+IFERROR(VLOOKUP(N31,기준!$B$53:$C$56,2,FALSE()),0)</f>
        <v>5</v>
      </c>
      <c r="V31" s="13" t="n">
        <f aca="false">SUM(R31:U31)</f>
        <v>48</v>
      </c>
      <c r="W31" s="13" t="n">
        <f aca="false">MIN(IF(O31="Y",20,100),IF(P31="Y",40,100),IF(Q31="Y",50,100))</f>
        <v>100</v>
      </c>
      <c r="X31" s="13" t="n">
        <f aca="false">MIN(V31,W31)</f>
        <v>48</v>
      </c>
      <c r="Y31" s="13" t="n">
        <f aca="false">RANK(X31,$X$2:$X$34,0)</f>
        <v>9</v>
      </c>
      <c r="Z31" s="12" t="s">
        <v>57</v>
      </c>
      <c r="AA31" s="12" t="s">
        <v>61</v>
      </c>
      <c r="AB31" s="10" t="str">
        <f aca="false">(IF(ISNUMBER(D31),1,0)+IF(ISNUMBER(E31),1,0)+IF(F31&lt;&gt;"미상",1,0)+IF(G31&lt;&gt;"미상",1,0)+IF(H31&lt;&gt;"미상",1,0)+IF(I31&lt;&gt;"미상",1,0)+IF(J31&lt;&gt;"미상",1,0)+IF(K31&lt;&gt;"미상",1,0)+IF(L31&lt;&gt;"미상",1,0)+IF(M31&lt;&gt;"미상",1,0)+IF(N31&lt;&gt;"미상",1,0))&amp;"/11"</f>
        <v>4/11</v>
      </c>
      <c r="AC31" s="10" t="s">
        <v>128</v>
      </c>
    </row>
    <row r="32" customFormat="false" ht="17.15" hidden="false" customHeight="false" outlineLevel="0" collapsed="false">
      <c r="A32" s="10" t="n">
        <v>31</v>
      </c>
      <c r="B32" s="10" t="s">
        <v>129</v>
      </c>
      <c r="C32" s="10" t="s">
        <v>119</v>
      </c>
      <c r="D32" s="12" t="n">
        <v>300</v>
      </c>
      <c r="E32" s="12" t="n">
        <v>60</v>
      </c>
      <c r="F32" s="12" t="s">
        <v>3</v>
      </c>
      <c r="G32" s="11" t="s">
        <v>9</v>
      </c>
      <c r="H32" s="12" t="s">
        <v>12</v>
      </c>
      <c r="I32" s="12" t="s">
        <v>17</v>
      </c>
      <c r="J32" s="12" t="s">
        <v>22</v>
      </c>
      <c r="K32" s="12" t="s">
        <v>25</v>
      </c>
      <c r="L32" s="12" t="s">
        <v>6</v>
      </c>
      <c r="M32" s="12" t="s">
        <v>4</v>
      </c>
      <c r="N32" s="12" t="s">
        <v>6</v>
      </c>
      <c r="O32" s="11" t="s">
        <v>56</v>
      </c>
      <c r="P32" s="11" t="s">
        <v>56</v>
      </c>
      <c r="Q32" s="11" t="s">
        <v>56</v>
      </c>
      <c r="R32" s="13" t="n">
        <f aca="false">IF(NOT(ISNUMBER(D32)),0,IF(D32&gt;=300,20,IF(D32&gt;=200,15,IF(D32&gt;=100,10,5))))+IF(NOT(ISNUMBER(E32)),0,IF(E32&gt;=60,10,IF(E32&gt;=40,6,3)))+IFERROR(VLOOKUP(F32,기준!$B$4:$C$7,2,FALSE()),0)</f>
        <v>35</v>
      </c>
      <c r="S32" s="13" t="n">
        <f aca="false">IFERROR(VLOOKUP(I32,기준!$B$22:$C$24,2,FALSE()),0)+IFERROR(VLOOKUP(J32,기준!$B$27:$C$30,2,FALSE()),0)+IFERROR(VLOOKUP(K32,기준!$B$33:$C$39,2,FALSE()),0)</f>
        <v>20</v>
      </c>
      <c r="T32" s="13" t="n">
        <f aca="false">IFERROR(VLOOKUP(G32,기준!$B$10:$C$13,2,FALSE()),0)+IFERROR(VLOOKUP(H32,기준!$B$16:$C$20,2,FALSE()),0)</f>
        <v>20</v>
      </c>
      <c r="U32" s="13" t="n">
        <f aca="false">IFERROR(VLOOKUP(L32,기준!$B$42:$C$44,2,FALSE()),0)+IFERROR(VLOOKUP(M32,기준!$B$47:$C$50,2,FALSE()),0)+IFERROR(VLOOKUP(N32,기준!$B$53:$C$56,2,FALSE()),0)</f>
        <v>3</v>
      </c>
      <c r="V32" s="13" t="n">
        <f aca="false">SUM(R32:U32)</f>
        <v>78</v>
      </c>
      <c r="W32" s="13" t="n">
        <f aca="false">MIN(IF(O32="Y",20,100),IF(P32="Y",40,100),IF(Q32="Y",50,100))</f>
        <v>100</v>
      </c>
      <c r="X32" s="13" t="n">
        <f aca="false">MIN(V32,W32)</f>
        <v>78</v>
      </c>
      <c r="Y32" s="13" t="n">
        <f aca="false">RANK(X32,$X$2:$X$34,0)</f>
        <v>5</v>
      </c>
      <c r="Z32" s="12" t="s">
        <v>57</v>
      </c>
      <c r="AA32" s="12" t="s">
        <v>61</v>
      </c>
      <c r="AB32" s="10" t="str">
        <f aca="false">(IF(ISNUMBER(D32),1,0)+IF(ISNUMBER(E32),1,0)+IF(F32&lt;&gt;"미상",1,0)+IF(G32&lt;&gt;"미상",1,0)+IF(H32&lt;&gt;"미상",1,0)+IF(I32&lt;&gt;"미상",1,0)+IF(J32&lt;&gt;"미상",1,0)+IF(K32&lt;&gt;"미상",1,0)+IF(L32&lt;&gt;"미상",1,0)+IF(M32&lt;&gt;"미상",1,0)+IF(N32&lt;&gt;"미상",1,0))&amp;"/11"</f>
        <v>9/11</v>
      </c>
      <c r="AC32" s="9" t="s">
        <v>130</v>
      </c>
    </row>
    <row r="33" customFormat="false" ht="17.15" hidden="false" customHeight="false" outlineLevel="0" collapsed="false">
      <c r="A33" s="10" t="n">
        <v>32</v>
      </c>
      <c r="B33" s="10" t="s">
        <v>131</v>
      </c>
      <c r="C33" s="10" t="s">
        <v>119</v>
      </c>
      <c r="D33" s="12"/>
      <c r="E33" s="12"/>
      <c r="F33" s="12" t="s">
        <v>6</v>
      </c>
      <c r="G33" s="11" t="s">
        <v>8</v>
      </c>
      <c r="H33" s="12" t="s">
        <v>6</v>
      </c>
      <c r="I33" s="12" t="s">
        <v>6</v>
      </c>
      <c r="J33" s="12" t="s">
        <v>6</v>
      </c>
      <c r="K33" s="12" t="s">
        <v>24</v>
      </c>
      <c r="L33" s="12" t="s">
        <v>6</v>
      </c>
      <c r="M33" s="12" t="s">
        <v>6</v>
      </c>
      <c r="N33" s="12" t="s">
        <v>6</v>
      </c>
      <c r="O33" s="11" t="s">
        <v>56</v>
      </c>
      <c r="P33" s="11" t="s">
        <v>56</v>
      </c>
      <c r="Q33" s="11" t="s">
        <v>56</v>
      </c>
      <c r="R33" s="13" t="n">
        <f aca="false">IF(NOT(ISNUMBER(D33)),0,IF(D33&gt;=300,20,IF(D33&gt;=200,15,IF(D33&gt;=100,10,5))))+IF(NOT(ISNUMBER(E33)),0,IF(E33&gt;=60,10,IF(E33&gt;=40,6,3)))+IFERROR(VLOOKUP(F33,기준!$B$4:$C$7,2,FALSE()),0)</f>
        <v>0</v>
      </c>
      <c r="S33" s="13" t="n">
        <f aca="false">IFERROR(VLOOKUP(I33,기준!$B$22:$C$24,2,FALSE()),0)+IFERROR(VLOOKUP(J33,기준!$B$27:$C$30,2,FALSE()),0)+IFERROR(VLOOKUP(K33,기준!$B$33:$C$39,2,FALSE()),0)</f>
        <v>10</v>
      </c>
      <c r="T33" s="13" t="n">
        <f aca="false">IFERROR(VLOOKUP(G33,기준!$B$10:$C$13,2,FALSE()),0)+IFERROR(VLOOKUP(H33,기준!$B$16:$C$20,2,FALSE()),0)</f>
        <v>13</v>
      </c>
      <c r="U33" s="13" t="n">
        <f aca="false">IFERROR(VLOOKUP(L33,기준!$B$42:$C$44,2,FALSE()),0)+IFERROR(VLOOKUP(M33,기준!$B$47:$C$50,2,FALSE()),0)+IFERROR(VLOOKUP(N33,기준!$B$53:$C$56,2,FALSE()),0)</f>
        <v>0</v>
      </c>
      <c r="V33" s="13" t="n">
        <f aca="false">SUM(R33:U33)</f>
        <v>23</v>
      </c>
      <c r="W33" s="13" t="n">
        <f aca="false">MIN(IF(O33="Y",20,100),IF(P33="Y",40,100),IF(Q33="Y",50,100))</f>
        <v>100</v>
      </c>
      <c r="X33" s="13" t="n">
        <f aca="false">MIN(V33,W33)</f>
        <v>23</v>
      </c>
      <c r="Y33" s="13" t="n">
        <f aca="false">RANK(X33,$X$2:$X$34,0)</f>
        <v>15</v>
      </c>
      <c r="Z33" s="12" t="s">
        <v>6</v>
      </c>
      <c r="AA33" s="12" t="s">
        <v>61</v>
      </c>
      <c r="AB33" s="10" t="str">
        <f aca="false">(IF(ISNUMBER(D33),1,0)+IF(ISNUMBER(E33),1,0)+IF(F33&lt;&gt;"미상",1,0)+IF(G33&lt;&gt;"미상",1,0)+IF(H33&lt;&gt;"미상",1,0)+IF(I33&lt;&gt;"미상",1,0)+IF(J33&lt;&gt;"미상",1,0)+IF(K33&lt;&gt;"미상",1,0)+IF(L33&lt;&gt;"미상",1,0)+IF(M33&lt;&gt;"미상",1,0)+IF(N33&lt;&gt;"미상",1,0))&amp;"/11"</f>
        <v>2/11</v>
      </c>
      <c r="AC33" s="10" t="s">
        <v>132</v>
      </c>
    </row>
    <row r="34" customFormat="false" ht="17.15" hidden="false" customHeight="false" outlineLevel="0" collapsed="false">
      <c r="A34" s="10" t="n">
        <v>33</v>
      </c>
      <c r="B34" s="10" t="s">
        <v>133</v>
      </c>
      <c r="C34" s="10" t="s">
        <v>134</v>
      </c>
      <c r="D34" s="12"/>
      <c r="E34" s="12"/>
      <c r="F34" s="12" t="s">
        <v>6</v>
      </c>
      <c r="G34" s="11" t="s">
        <v>8</v>
      </c>
      <c r="H34" s="12" t="s">
        <v>15</v>
      </c>
      <c r="I34" s="12" t="s">
        <v>6</v>
      </c>
      <c r="J34" s="12" t="s">
        <v>6</v>
      </c>
      <c r="K34" s="12" t="s">
        <v>24</v>
      </c>
      <c r="L34" s="12" t="s">
        <v>6</v>
      </c>
      <c r="M34" s="12" t="s">
        <v>6</v>
      </c>
      <c r="N34" s="12" t="s">
        <v>6</v>
      </c>
      <c r="O34" s="11" t="s">
        <v>56</v>
      </c>
      <c r="P34" s="11" t="s">
        <v>56</v>
      </c>
      <c r="Q34" s="11" t="s">
        <v>56</v>
      </c>
      <c r="R34" s="13" t="n">
        <f aca="false">IF(NOT(ISNUMBER(D34)),0,IF(D34&gt;=300,20,IF(D34&gt;=200,15,IF(D34&gt;=100,10,5))))+IF(NOT(ISNUMBER(E34)),0,IF(E34&gt;=60,10,IF(E34&gt;=40,6,3)))+IFERROR(VLOOKUP(F34,기준!$B$4:$C$7,2,FALSE()),0)</f>
        <v>0</v>
      </c>
      <c r="S34" s="13" t="n">
        <f aca="false">IFERROR(VLOOKUP(I34,기준!$B$22:$C$24,2,FALSE()),0)+IFERROR(VLOOKUP(J34,기준!$B$27:$C$30,2,FALSE()),0)+IFERROR(VLOOKUP(K34,기준!$B$33:$C$39,2,FALSE()),0)</f>
        <v>10</v>
      </c>
      <c r="T34" s="13" t="n">
        <f aca="false">IFERROR(VLOOKUP(G34,기준!$B$10:$C$13,2,FALSE()),0)+IFERROR(VLOOKUP(H34,기준!$B$16:$C$20,2,FALSE()),0)</f>
        <v>18</v>
      </c>
      <c r="U34" s="13" t="n">
        <f aca="false">IFERROR(VLOOKUP(L34,기준!$B$42:$C$44,2,FALSE()),0)+IFERROR(VLOOKUP(M34,기준!$B$47:$C$50,2,FALSE()),0)+IFERROR(VLOOKUP(N34,기준!$B$53:$C$56,2,FALSE()),0)</f>
        <v>0</v>
      </c>
      <c r="V34" s="13" t="n">
        <f aca="false">SUM(R34:U34)</f>
        <v>28</v>
      </c>
      <c r="W34" s="13" t="n">
        <f aca="false">MIN(IF(O34="Y",20,100),IF(P34="Y",40,100),IF(Q34="Y",50,100))</f>
        <v>100</v>
      </c>
      <c r="X34" s="13" t="n">
        <f aca="false">MIN(V34,W34)</f>
        <v>28</v>
      </c>
      <c r="Y34" s="13" t="n">
        <f aca="false">RANK(X34,$X$2:$X$34,0)</f>
        <v>12</v>
      </c>
      <c r="Z34" s="12" t="s">
        <v>86</v>
      </c>
      <c r="AA34" s="11" t="s">
        <v>111</v>
      </c>
      <c r="AB34" s="10" t="str">
        <f aca="false">(IF(ISNUMBER(D34),1,0)+IF(ISNUMBER(E34),1,0)+IF(F34&lt;&gt;"미상",1,0)+IF(G34&lt;&gt;"미상",1,0)+IF(H34&lt;&gt;"미상",1,0)+IF(I34&lt;&gt;"미상",1,0)+IF(J34&lt;&gt;"미상",1,0)+IF(K34&lt;&gt;"미상",1,0)+IF(L34&lt;&gt;"미상",1,0)+IF(M34&lt;&gt;"미상",1,0)+IF(N34&lt;&gt;"미상",1,0))&amp;"/11"</f>
        <v>3/11</v>
      </c>
      <c r="AC34" s="10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2026-06-08T08:36:57Z</dcterms:created>
  <dc:creator>openpyxl</dc:creator>
  <dc:description/>
  <dc:language>en-US</dc:language>
  <cp:lastModifiedBy/>
  <dcterms:modified xsi:type="dcterms:W3CDTF">2026-06-08T08:36:57Z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