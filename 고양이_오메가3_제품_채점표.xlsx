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준" sheetId="1" state="visible" r:id="rId1"/>
    <sheet xmlns:r="http://schemas.openxmlformats.org/officeDocument/2006/relationships" name="점수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</font>
    <font>
      <name val="Arial"/>
      <b val="1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6B470"/>
      </patternFill>
    </fill>
    <fill>
      <patternFill patternType="solid">
        <fgColor rgb="00EAF7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16" customWidth="1" min="2" max="2"/>
    <col width="8" customWidth="1" min="3" max="3"/>
  </cols>
  <sheetData>
    <row r="1">
      <c r="A1" s="1" t="inlineStr">
        <is>
          <t>고양이 오메가3 제품 채점 기준 (공개정보 기반·실측 전)</t>
        </is>
      </c>
    </row>
    <row r="2">
      <c r="A2" s="2" t="inlineStr">
        <is>
          <t>가중치 성분35/산패30/원료·형태20/투명성15 | 안전상한 비해양성(ALA)→20·대구간유/비타민A·D→40·산패고위험→50 | 조류오일=정상, 폴락=어체유(간유 아님)</t>
        </is>
      </c>
    </row>
    <row r="3">
      <c r="B3" s="3" t="inlineStr">
        <is>
          <t>비율표기</t>
        </is>
      </c>
    </row>
    <row r="4">
      <c r="B4" s="4" t="inlineStr">
        <is>
          <t>명시</t>
        </is>
      </c>
      <c r="C4" s="4" t="n">
        <v>5</v>
      </c>
    </row>
    <row r="5">
      <c r="B5" s="4" t="inlineStr">
        <is>
          <t>일부</t>
        </is>
      </c>
      <c r="C5" s="4" t="n">
        <v>2</v>
      </c>
    </row>
    <row r="6">
      <c r="B6" s="4" t="inlineStr">
        <is>
          <t>미표기</t>
        </is>
      </c>
      <c r="C6" s="4" t="n">
        <v>0</v>
      </c>
    </row>
    <row r="7">
      <c r="B7" s="4" t="inlineStr">
        <is>
          <t>미상</t>
        </is>
      </c>
      <c r="C7" s="4" t="n">
        <v>0</v>
      </c>
    </row>
    <row r="9">
      <c r="B9" s="3" t="inlineStr">
        <is>
          <t>형태</t>
        </is>
      </c>
    </row>
    <row r="10">
      <c r="B10" s="4" t="inlineStr">
        <is>
          <t>rTG</t>
        </is>
      </c>
      <c r="C10" s="4" t="n">
        <v>10</v>
      </c>
    </row>
    <row r="11">
      <c r="B11" s="4" t="inlineStr">
        <is>
          <t>TG</t>
        </is>
      </c>
      <c r="C11" s="4" t="n">
        <v>10</v>
      </c>
    </row>
    <row r="12">
      <c r="B12" s="4" t="inlineStr">
        <is>
          <t>EE</t>
        </is>
      </c>
      <c r="C12" s="4" t="n">
        <v>5</v>
      </c>
    </row>
    <row r="13">
      <c r="B13" s="4" t="inlineStr">
        <is>
          <t>미상</t>
        </is>
      </c>
      <c r="C13" s="4" t="n">
        <v>5</v>
      </c>
    </row>
    <row r="15">
      <c r="B15" s="3" t="inlineStr">
        <is>
          <t>어종</t>
        </is>
      </c>
    </row>
    <row r="16">
      <c r="B16" s="4" t="inlineStr">
        <is>
          <t>소형어</t>
        </is>
      </c>
      <c r="C16" s="4" t="n">
        <v>10</v>
      </c>
    </row>
    <row r="17">
      <c r="B17" s="4" t="inlineStr">
        <is>
          <t>일반어</t>
        </is>
      </c>
      <c r="C17" s="4" t="n">
        <v>6</v>
      </c>
    </row>
    <row r="18">
      <c r="B18" s="4" t="inlineStr">
        <is>
          <t>해양포유류</t>
        </is>
      </c>
      <c r="C18" s="4" t="n">
        <v>6</v>
      </c>
    </row>
    <row r="19">
      <c r="B19" s="4" t="inlineStr">
        <is>
          <t>식물성</t>
        </is>
      </c>
      <c r="C19" s="4" t="n">
        <v>0</v>
      </c>
    </row>
    <row r="20">
      <c r="B20" s="4" t="inlineStr">
        <is>
          <t>조류</t>
        </is>
      </c>
      <c r="C20" s="4" t="n">
        <v>8</v>
      </c>
    </row>
    <row r="21">
      <c r="B21" s="4" t="inlineStr">
        <is>
          <t>미상</t>
        </is>
      </c>
      <c r="C21" s="4" t="n">
        <v>3</v>
      </c>
    </row>
    <row r="23">
      <c r="B23" s="3" t="inlineStr">
        <is>
          <t>항산화제</t>
        </is>
      </c>
    </row>
    <row r="24">
      <c r="B24" s="4" t="inlineStr">
        <is>
          <t>있음</t>
        </is>
      </c>
      <c r="C24" s="4" t="n">
        <v>10</v>
      </c>
    </row>
    <row r="25">
      <c r="B25" s="4" t="inlineStr">
        <is>
          <t>없음</t>
        </is>
      </c>
      <c r="C25" s="4" t="n">
        <v>0</v>
      </c>
    </row>
    <row r="26">
      <c r="B26" s="4" t="inlineStr">
        <is>
          <t>미상</t>
        </is>
      </c>
      <c r="C26" s="4" t="n">
        <v>0</v>
      </c>
    </row>
    <row r="28">
      <c r="B28" s="3" t="inlineStr">
        <is>
          <t>포장</t>
        </is>
      </c>
    </row>
    <row r="29">
      <c r="B29" s="4" t="inlineStr">
        <is>
          <t>우수</t>
        </is>
      </c>
      <c r="C29" s="4" t="n">
        <v>10</v>
      </c>
    </row>
    <row r="30">
      <c r="B30" s="4" t="inlineStr">
        <is>
          <t>보통</t>
        </is>
      </c>
      <c r="C30" s="4" t="n">
        <v>5</v>
      </c>
    </row>
    <row r="31">
      <c r="B31" s="4" t="inlineStr">
        <is>
          <t>취약</t>
        </is>
      </c>
      <c r="C31" s="4" t="n">
        <v>0</v>
      </c>
    </row>
    <row r="32">
      <c r="B32" s="4" t="inlineStr">
        <is>
          <t>미상</t>
        </is>
      </c>
      <c r="C32" s="4" t="n">
        <v>0</v>
      </c>
    </row>
    <row r="34">
      <c r="B34" s="3" t="inlineStr">
        <is>
          <t>제형</t>
        </is>
      </c>
    </row>
    <row r="35">
      <c r="B35" s="4" t="inlineStr">
        <is>
          <t>캡슐</t>
        </is>
      </c>
      <c r="C35" s="4" t="n">
        <v>10</v>
      </c>
    </row>
    <row r="36">
      <c r="B36" s="4" t="inlineStr">
        <is>
          <t>소프트젤</t>
        </is>
      </c>
      <c r="C36" s="4" t="n">
        <v>10</v>
      </c>
    </row>
    <row r="37">
      <c r="B37" s="4" t="inlineStr">
        <is>
          <t>츄</t>
        </is>
      </c>
      <c r="C37" s="4" t="n">
        <v>6</v>
      </c>
    </row>
    <row r="38">
      <c r="B38" s="4" t="inlineStr">
        <is>
          <t>스틱</t>
        </is>
      </c>
      <c r="C38" s="4" t="n">
        <v>6</v>
      </c>
    </row>
    <row r="39">
      <c r="B39" s="4" t="inlineStr">
        <is>
          <t>펌프액상</t>
        </is>
      </c>
      <c r="C39" s="4" t="n">
        <v>6</v>
      </c>
    </row>
    <row r="40">
      <c r="B40" s="4" t="inlineStr">
        <is>
          <t>대용량액상</t>
        </is>
      </c>
      <c r="C40" s="4" t="n">
        <v>2</v>
      </c>
    </row>
    <row r="41">
      <c r="B41" s="4" t="inlineStr">
        <is>
          <t>미상</t>
        </is>
      </c>
      <c r="C41" s="4" t="n">
        <v>0</v>
      </c>
    </row>
    <row r="43">
      <c r="B43" s="3" t="inlineStr">
        <is>
          <t>인증</t>
        </is>
      </c>
    </row>
    <row r="44">
      <c r="B44" s="4" t="inlineStr">
        <is>
          <t>있음</t>
        </is>
      </c>
      <c r="C44" s="4" t="n">
        <v>5</v>
      </c>
    </row>
    <row r="45">
      <c r="B45" s="4" t="inlineStr">
        <is>
          <t>없음</t>
        </is>
      </c>
      <c r="C45" s="4" t="n">
        <v>0</v>
      </c>
    </row>
    <row r="46">
      <c r="B46" s="4" t="inlineStr">
        <is>
          <t>미상</t>
        </is>
      </c>
      <c r="C46" s="4" t="n">
        <v>0</v>
      </c>
    </row>
    <row r="48">
      <c r="B48" s="3" t="inlineStr">
        <is>
          <t>COA</t>
        </is>
      </c>
    </row>
    <row r="49">
      <c r="B49" s="4" t="inlineStr">
        <is>
          <t>공개</t>
        </is>
      </c>
      <c r="C49" s="4" t="n">
        <v>6</v>
      </c>
    </row>
    <row r="50">
      <c r="B50" s="4" t="inlineStr">
        <is>
          <t>일부</t>
        </is>
      </c>
      <c r="C50" s="4" t="n">
        <v>3</v>
      </c>
    </row>
    <row r="51">
      <c r="B51" s="4" t="inlineStr">
        <is>
          <t>없음</t>
        </is>
      </c>
      <c r="C51" s="4" t="n">
        <v>0</v>
      </c>
    </row>
    <row r="52">
      <c r="B52" s="4" t="inlineStr">
        <is>
          <t>미상</t>
        </is>
      </c>
      <c r="C52" s="4" t="n">
        <v>0</v>
      </c>
    </row>
    <row r="54">
      <c r="B54" s="3" t="inlineStr">
        <is>
          <t>원료사</t>
        </is>
      </c>
    </row>
    <row r="55">
      <c r="B55" s="4" t="inlineStr">
        <is>
          <t>명시</t>
        </is>
      </c>
      <c r="C55" s="4" t="n">
        <v>4</v>
      </c>
    </row>
    <row r="56">
      <c r="B56" s="4" t="inlineStr">
        <is>
          <t>일부</t>
        </is>
      </c>
      <c r="C56" s="4" t="n">
        <v>2</v>
      </c>
    </row>
    <row r="57">
      <c r="B57" s="4" t="inlineStr">
        <is>
          <t>없음</t>
        </is>
      </c>
      <c r="C57" s="4" t="n">
        <v>0</v>
      </c>
    </row>
    <row r="58">
      <c r="B58" s="4" t="inlineStr">
        <is>
          <t>미상</t>
        </is>
      </c>
      <c r="C58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3" customWidth="1" min="3" max="3"/>
    <col width="13" customWidth="1" min="4" max="4"/>
    <col width="8" customWidth="1" min="5" max="5"/>
    <col width="9" customWidth="1" min="6" max="6"/>
    <col width="7" customWidth="1" min="7" max="7"/>
    <col width="8" customWidth="1" min="8" max="8"/>
    <col width="9" customWidth="1" min="9" max="9"/>
    <col width="8" customWidth="1" min="10" max="10"/>
    <col width="11" customWidth="1" min="11" max="11"/>
    <col width="7" customWidth="1" min="12" max="12"/>
    <col width="7" customWidth="1" min="13" max="13"/>
    <col width="8" customWidth="1" min="14" max="14"/>
    <col width="8" customWidth="1" min="15" max="15"/>
    <col width="6" customWidth="1" min="16" max="16"/>
    <col width="10" customWidth="1" min="17" max="17"/>
    <col width="9" customWidth="1" min="18" max="18"/>
    <col width="8" customWidth="1" min="19" max="19"/>
    <col width="8" customWidth="1" min="20" max="20"/>
    <col width="11" customWidth="1" min="21" max="21"/>
    <col width="10" customWidth="1" min="22" max="22"/>
    <col width="7" customWidth="1" min="23" max="23"/>
    <col width="9" customWidth="1" min="24" max="24"/>
    <col width="9" customWidth="1" min="25" max="25"/>
    <col width="9" customWidth="1" min="26" max="26"/>
    <col width="11" customWidth="1" min="27" max="27"/>
    <col width="9" customWidth="1" min="28" max="28"/>
    <col width="11" customWidth="1" min="29" max="29"/>
    <col width="44" customWidth="1" min="30" max="30"/>
  </cols>
  <sheetData>
    <row r="1" ht="42" customHeight="1">
      <c r="A1" s="5" t="inlineStr">
        <is>
          <t>번호</t>
        </is>
      </c>
      <c r="B1" s="5" t="inlineStr">
        <is>
          <t>제품명</t>
        </is>
      </c>
      <c r="C1" s="5" t="inlineStr">
        <is>
          <t>분류</t>
        </is>
      </c>
      <c r="D1" s="5" t="inlineStr">
        <is>
          <t>밀도(EPA+DHA mg/단위)</t>
        </is>
      </c>
      <c r="E1" s="5" t="inlineStr">
        <is>
          <t>순도(%)</t>
        </is>
      </c>
      <c r="F1" s="5" t="inlineStr">
        <is>
          <t>비율표기</t>
        </is>
      </c>
      <c r="G1" s="5" t="inlineStr">
        <is>
          <t>형태</t>
        </is>
      </c>
      <c r="H1" s="5" t="inlineStr">
        <is>
          <t>어종</t>
        </is>
      </c>
      <c r="I1" s="5" t="inlineStr">
        <is>
          <t>항산화제</t>
        </is>
      </c>
      <c r="J1" s="5" t="inlineStr">
        <is>
          <t>포장</t>
        </is>
      </c>
      <c r="K1" s="5" t="inlineStr">
        <is>
          <t>제형</t>
        </is>
      </c>
      <c r="L1" s="5" t="inlineStr">
        <is>
          <t>인증</t>
        </is>
      </c>
      <c r="M1" s="5" t="inlineStr">
        <is>
          <t>COA</t>
        </is>
      </c>
      <c r="N1" s="5" t="inlineStr">
        <is>
          <t>원료사</t>
        </is>
      </c>
      <c r="O1" s="5" t="inlineStr">
        <is>
          <t>비해양성</t>
        </is>
      </c>
      <c r="P1" s="5" t="inlineStr">
        <is>
          <t>대구</t>
        </is>
      </c>
      <c r="Q1" s="5" t="inlineStr">
        <is>
          <t>산패고위험</t>
        </is>
      </c>
      <c r="R1" s="5" t="inlineStr">
        <is>
          <t>비타민AD</t>
        </is>
      </c>
      <c r="S1" s="5" t="inlineStr">
        <is>
          <t>성분/35</t>
        </is>
      </c>
      <c r="T1" s="5" t="inlineStr">
        <is>
          <t>산패/30</t>
        </is>
      </c>
      <c r="U1" s="5" t="inlineStr">
        <is>
          <t>원료형태/20</t>
        </is>
      </c>
      <c r="V1" s="5" t="inlineStr">
        <is>
          <t>투명성/15</t>
        </is>
      </c>
      <c r="W1" s="5" t="inlineStr">
        <is>
          <t>합계</t>
        </is>
      </c>
      <c r="X1" s="5" t="inlineStr">
        <is>
          <t>안전상한</t>
        </is>
      </c>
      <c r="Y1" s="5" t="inlineStr">
        <is>
          <t>최종점수</t>
        </is>
      </c>
      <c r="Z1" s="5" t="inlineStr">
        <is>
          <t>잠정순위</t>
        </is>
      </c>
      <c r="AA1" s="5" t="inlineStr">
        <is>
          <t>정보검증</t>
        </is>
      </c>
      <c r="AB1" s="5" t="inlineStr">
        <is>
          <t>적합성</t>
        </is>
      </c>
      <c r="AC1" s="5" t="inlineStr">
        <is>
          <t>데이터충실도</t>
        </is>
      </c>
      <c r="AD1" s="5" t="inlineStr">
        <is>
          <t>출처·비고</t>
        </is>
      </c>
    </row>
    <row r="2">
      <c r="A2" s="6" t="inlineStr">
        <is>
          <t>1</t>
        </is>
      </c>
      <c r="B2" s="6" t="inlineStr">
        <is>
          <t>닥터레이 오메가3</t>
        </is>
      </c>
      <c r="C2" s="6" t="inlineStr">
        <is>
          <t>펫·캡슐</t>
        </is>
      </c>
      <c r="D2" s="7" t="n">
        <v>200</v>
      </c>
      <c r="E2" s="7" t="n">
        <v>80</v>
      </c>
      <c r="F2" s="7" t="inlineStr">
        <is>
          <t>명시</t>
        </is>
      </c>
      <c r="G2" s="7" t="inlineStr">
        <is>
          <t>rTG</t>
        </is>
      </c>
      <c r="H2" s="7" t="inlineStr">
        <is>
          <t>소형어</t>
        </is>
      </c>
      <c r="I2" s="7" t="inlineStr">
        <is>
          <t>있음</t>
        </is>
      </c>
      <c r="J2" s="7" t="inlineStr">
        <is>
          <t>우수</t>
        </is>
      </c>
      <c r="K2" s="7" t="inlineStr">
        <is>
          <t>캡슐</t>
        </is>
      </c>
      <c r="L2" s="7" t="inlineStr">
        <is>
          <t>있음</t>
        </is>
      </c>
      <c r="M2" s="7" t="inlineStr">
        <is>
          <t>공개</t>
        </is>
      </c>
      <c r="N2" s="7" t="inlineStr">
        <is>
          <t>명시</t>
        </is>
      </c>
      <c r="O2" s="7">
        <f>IF(H2="식물성","Y","N")</f>
        <v/>
      </c>
      <c r="P2" s="7" t="inlineStr">
        <is>
          <t>N</t>
        </is>
      </c>
      <c r="Q2" s="7">
        <f>IF(AND(J2="취약",I2&lt;&gt;"있음",OR(M2="없음",M2="미상")),"Y","N")</f>
        <v/>
      </c>
      <c r="R2" s="7" t="inlineStr">
        <is>
          <t>N</t>
        </is>
      </c>
      <c r="S2" s="8">
        <f>IF(NOT(ISNUMBER(D2)),0,IF(D2&gt;=300,20,IF(D2&gt;=200,15,IF(D2&gt;=100,10,5))))+IF(NOT(ISNUMBER(E2)),0,IF(E2&gt;=60,10,IF(E2&gt;=40,6,3)))+IFERROR(VLOOKUP(F2,기준!$B$4:$C$7,2,FALSE),0)</f>
        <v/>
      </c>
      <c r="T2" s="8">
        <f>IFERROR(VLOOKUP(I2,기준!$B$24:$C$26,2,FALSE),0)+IFERROR(VLOOKUP(J2,기준!$B$29:$C$32,2,FALSE),0)+IFERROR(VLOOKUP(K2,기준!$B$35:$C$41,2,FALSE),0)</f>
        <v/>
      </c>
      <c r="U2" s="8">
        <f>IFERROR(VLOOKUP(G2,기준!$B$10:$C$13,2,FALSE),0)+IFERROR(VLOOKUP(H2,기준!$B$16:$C$21,2,FALSE),0)</f>
        <v/>
      </c>
      <c r="V2" s="8">
        <f>IFERROR(VLOOKUP(L2,기준!$B$44:$C$46,2,FALSE),0)+IFERROR(VLOOKUP(M2,기준!$B$49:$C$52,2,FALSE),0)+IFERROR(VLOOKUP(N2,기준!$B$55:$C$58,2,FALSE),0)</f>
        <v/>
      </c>
      <c r="W2" s="8">
        <f>SUM(S2:V2)</f>
        <v/>
      </c>
      <c r="X2" s="8">
        <f>MIN(IF(O2="Y",20,100),IF(P2="Y",40,100),IF(Q2="Y",50,100),IF(R2="Y",40,100))</f>
        <v/>
      </c>
      <c r="Y2" s="8">
        <f>MIN(W2,X2)</f>
        <v/>
      </c>
      <c r="Z2" s="8">
        <f>RANK(Y2,$Y$2:$Y$34,0)</f>
        <v/>
      </c>
      <c r="AA2" s="7" t="inlineStr">
        <is>
          <t>공개·검증</t>
        </is>
      </c>
      <c r="AB2" s="7" t="inlineStr">
        <is>
          <t>관절·신장(EPA우세)</t>
        </is>
      </c>
      <c r="AC2" s="6">
        <f>(IF(ISNUMBER(D2),1,0)+IF(ISNUMBER(E2),1,0)+IF(AND(F2&lt;&gt;"미상",F2&lt;&gt;""),1,0)+IF(AND(G2&lt;&gt;"미상",G2&lt;&gt;""),1,0)+IF(AND(H2&lt;&gt;"미상",H2&lt;&gt;""),1,0)+IF(AND(I2&lt;&gt;"미상",I2&lt;&gt;""),1,0)+IF(AND(J2&lt;&gt;"미상",J2&lt;&gt;""),1,0)+IF(AND(K2&lt;&gt;"미상",K2&lt;&gt;""),1,0)+IF(AND(L2&lt;&gt;"미상",L2&lt;&gt;""),1,0)+IF(AND(M2&lt;&gt;"미상",M2&lt;&gt;""),1,0)+IF(AND(N2&lt;&gt;"미상",N2&lt;&gt;""),1,0))&amp;"/11"</f>
        <v/>
      </c>
      <c r="AD2" s="6" t="inlineStr">
        <is>
          <t>1캡슐 EPA120+DHA80=200mg·순도80%·rTG·멸치/정어리·d-토코페롤·PVDC블리스터·IFOS5★완제품(TOTOX10.32·산가0.17·중금속통과)·KD파마/로빈슨파마 (상세페이지 실측)</t>
        </is>
      </c>
    </row>
    <row r="3">
      <c r="A3" s="6" t="inlineStr">
        <is>
          <t>2</t>
        </is>
      </c>
      <c r="B3" s="6" t="inlineStr">
        <is>
          <t>조공 rTG 퓨어 오메가3</t>
        </is>
      </c>
      <c r="C3" s="6" t="inlineStr">
        <is>
          <t>펫·캡슐</t>
        </is>
      </c>
      <c r="D3" s="7" t="n"/>
      <c r="E3" s="7" t="n">
        <v>80</v>
      </c>
      <c r="F3" s="7" t="inlineStr">
        <is>
          <t>미상</t>
        </is>
      </c>
      <c r="G3" s="7" t="inlineStr">
        <is>
          <t>rTG</t>
        </is>
      </c>
      <c r="H3" s="7" t="inlineStr">
        <is>
          <t>미상</t>
        </is>
      </c>
      <c r="I3" s="7" t="inlineStr">
        <is>
          <t>미상</t>
        </is>
      </c>
      <c r="J3" s="7" t="inlineStr">
        <is>
          <t>미상</t>
        </is>
      </c>
      <c r="K3" s="7" t="inlineStr">
        <is>
          <t>캡슐</t>
        </is>
      </c>
      <c r="L3" s="7" t="inlineStr">
        <is>
          <t>있음</t>
        </is>
      </c>
      <c r="M3" s="7" t="inlineStr">
        <is>
          <t>일부</t>
        </is>
      </c>
      <c r="N3" s="7" t="inlineStr">
        <is>
          <t>명시</t>
        </is>
      </c>
      <c r="O3" s="7">
        <f>IF(H3="식물성","Y","N")</f>
        <v/>
      </c>
      <c r="P3" s="7" t="inlineStr">
        <is>
          <t>N</t>
        </is>
      </c>
      <c r="Q3" s="7">
        <f>IF(AND(J3="취약",I3&lt;&gt;"있음",OR(M3="없음",M3="미상")),"Y","N")</f>
        <v/>
      </c>
      <c r="R3" s="7" t="inlineStr">
        <is>
          <t>N</t>
        </is>
      </c>
      <c r="S3" s="8">
        <f>IF(NOT(ISNUMBER(D3)),0,IF(D3&gt;=300,20,IF(D3&gt;=200,15,IF(D3&gt;=100,10,5))))+IF(NOT(ISNUMBER(E3)),0,IF(E3&gt;=60,10,IF(E3&gt;=40,6,3)))+IFERROR(VLOOKUP(F3,기준!$B$4:$C$7,2,FALSE),0)</f>
        <v/>
      </c>
      <c r="T3" s="8">
        <f>IFERROR(VLOOKUP(I3,기준!$B$24:$C$26,2,FALSE),0)+IFERROR(VLOOKUP(J3,기준!$B$29:$C$32,2,FALSE),0)+IFERROR(VLOOKUP(K3,기준!$B$35:$C$41,2,FALSE),0)</f>
        <v/>
      </c>
      <c r="U3" s="8">
        <f>IFERROR(VLOOKUP(G3,기준!$B$10:$C$13,2,FALSE),0)+IFERROR(VLOOKUP(H3,기준!$B$16:$C$21,2,FALSE),0)</f>
        <v/>
      </c>
      <c r="V3" s="8">
        <f>IFERROR(VLOOKUP(L3,기준!$B$44:$C$46,2,FALSE),0)+IFERROR(VLOOKUP(M3,기준!$B$49:$C$52,2,FALSE),0)+IFERROR(VLOOKUP(N3,기준!$B$55:$C$58,2,FALSE),0)</f>
        <v/>
      </c>
      <c r="W3" s="8">
        <f>SUM(S3:V3)</f>
        <v/>
      </c>
      <c r="X3" s="8">
        <f>MIN(IF(O3="Y",20,100),IF(P3="Y",40,100),IF(Q3="Y",50,100),IF(R3="Y",40,100))</f>
        <v/>
      </c>
      <c r="Y3" s="8">
        <f>MIN(W3,X3)</f>
        <v/>
      </c>
      <c r="Z3" s="8">
        <f>RANK(Y3,$Y$2:$Y$34,0)</f>
        <v/>
      </c>
      <c r="AA3" s="7" t="inlineStr">
        <is>
          <t>공개·검증</t>
        </is>
      </c>
      <c r="AB3" s="7" t="inlineStr">
        <is>
          <t>미정</t>
        </is>
      </c>
      <c r="AC3" s="6">
        <f>(IF(ISNUMBER(D3),1,0)+IF(ISNUMBER(E3),1,0)+IF(AND(F3&lt;&gt;"미상",F3&lt;&gt;""),1,0)+IF(AND(G3&lt;&gt;"미상",G3&lt;&gt;""),1,0)+IF(AND(H3&lt;&gt;"미상",H3&lt;&gt;""),1,0)+IF(AND(I3&lt;&gt;"미상",I3&lt;&gt;""),1,0)+IF(AND(J3&lt;&gt;"미상",J3&lt;&gt;""),1,0)+IF(AND(K3&lt;&gt;"미상",K3&lt;&gt;""),1,0)+IF(AND(L3&lt;&gt;"미상",L3&lt;&gt;""),1,0)+IF(AND(M3&lt;&gt;"미상",M3&lt;&gt;""),1,0)+IF(AND(N3&lt;&gt;"미상",N3&lt;&gt;""),1,0))&amp;"/11"</f>
        <v/>
      </c>
      <c r="AD3" s="6" t="inlineStr">
        <is>
          <t>IFOS 5-star·Solutex·순도80%+ (모굿인)</t>
        </is>
      </c>
    </row>
    <row r="4">
      <c r="A4" s="6" t="inlineStr">
        <is>
          <t>3</t>
        </is>
      </c>
      <c r="B4" s="6" t="inlineStr">
        <is>
          <t>조공 레드 오메가3 미니</t>
        </is>
      </c>
      <c r="C4" s="6" t="inlineStr">
        <is>
          <t>펫·캡슐</t>
        </is>
      </c>
      <c r="D4" s="7" t="n">
        <v>110</v>
      </c>
      <c r="E4" s="7" t="n">
        <v>80</v>
      </c>
      <c r="F4" s="7" t="inlineStr">
        <is>
          <t>명시</t>
        </is>
      </c>
      <c r="G4" s="7" t="inlineStr">
        <is>
          <t>rTG</t>
        </is>
      </c>
      <c r="H4" s="7" t="inlineStr">
        <is>
          <t>소형어</t>
        </is>
      </c>
      <c r="I4" s="7" t="inlineStr">
        <is>
          <t>있음</t>
        </is>
      </c>
      <c r="J4" s="7" t="inlineStr">
        <is>
          <t>우수</t>
        </is>
      </c>
      <c r="K4" s="7" t="inlineStr">
        <is>
          <t>캡슐</t>
        </is>
      </c>
      <c r="L4" s="7" t="inlineStr">
        <is>
          <t>있음</t>
        </is>
      </c>
      <c r="M4" s="7" t="inlineStr">
        <is>
          <t>공개</t>
        </is>
      </c>
      <c r="N4" s="7" t="inlineStr">
        <is>
          <t>명시</t>
        </is>
      </c>
      <c r="O4" s="7">
        <f>IF(H4="식물성","Y","N")</f>
        <v/>
      </c>
      <c r="P4" s="7" t="inlineStr">
        <is>
          <t>N</t>
        </is>
      </c>
      <c r="Q4" s="7">
        <f>IF(AND(J4="취약",I4&lt;&gt;"있음",OR(M4="없음",M4="미상")),"Y","N")</f>
        <v/>
      </c>
      <c r="R4" s="7" t="inlineStr">
        <is>
          <t>N</t>
        </is>
      </c>
      <c r="S4" s="8">
        <f>IF(NOT(ISNUMBER(D4)),0,IF(D4&gt;=300,20,IF(D4&gt;=200,15,IF(D4&gt;=100,10,5))))+IF(NOT(ISNUMBER(E4)),0,IF(E4&gt;=60,10,IF(E4&gt;=40,6,3)))+IFERROR(VLOOKUP(F4,기준!$B$4:$C$7,2,FALSE),0)</f>
        <v/>
      </c>
      <c r="T4" s="8">
        <f>IFERROR(VLOOKUP(I4,기준!$B$24:$C$26,2,FALSE),0)+IFERROR(VLOOKUP(J4,기준!$B$29:$C$32,2,FALSE),0)+IFERROR(VLOOKUP(K4,기준!$B$35:$C$41,2,FALSE),0)</f>
        <v/>
      </c>
      <c r="U4" s="8">
        <f>IFERROR(VLOOKUP(G4,기준!$B$10:$C$13,2,FALSE),0)+IFERROR(VLOOKUP(H4,기준!$B$16:$C$21,2,FALSE),0)</f>
        <v/>
      </c>
      <c r="V4" s="8">
        <f>IFERROR(VLOOKUP(L4,기준!$B$44:$C$46,2,FALSE),0)+IFERROR(VLOOKUP(M4,기준!$B$49:$C$52,2,FALSE),0)+IFERROR(VLOOKUP(N4,기준!$B$55:$C$58,2,FALSE),0)</f>
        <v/>
      </c>
      <c r="W4" s="8">
        <f>SUM(S4:V4)</f>
        <v/>
      </c>
      <c r="X4" s="8">
        <f>MIN(IF(O4="Y",20,100),IF(P4="Y",40,100),IF(Q4="Y",50,100),IF(R4="Y",40,100))</f>
        <v/>
      </c>
      <c r="Y4" s="8">
        <f>MIN(W4,X4)</f>
        <v/>
      </c>
      <c r="Z4" s="8">
        <f>RANK(Y4,$Y$2:$Y$34,0)</f>
        <v/>
      </c>
      <c r="AA4" s="7" t="inlineStr">
        <is>
          <t>공개·검증</t>
        </is>
      </c>
      <c r="AB4" s="7" t="inlineStr">
        <is>
          <t>일반유지·피부(아스타잔틴)</t>
        </is>
      </c>
      <c r="AC4" s="6">
        <f>(IF(ISNUMBER(D4),1,0)+IF(ISNUMBER(E4),1,0)+IF(AND(F4&lt;&gt;"미상",F4&lt;&gt;""),1,0)+IF(AND(G4&lt;&gt;"미상",G4&lt;&gt;""),1,0)+IF(AND(H4&lt;&gt;"미상",H4&lt;&gt;""),1,0)+IF(AND(I4&lt;&gt;"미상",I4&lt;&gt;""),1,0)+IF(AND(J4&lt;&gt;"미상",J4&lt;&gt;""),1,0)+IF(AND(K4&lt;&gt;"미상",K4&lt;&gt;""),1,0)+IF(AND(L4&lt;&gt;"미상",L4&lt;&gt;""),1,0)+IF(AND(M4&lt;&gt;"미상",M4&lt;&gt;""),1,0)+IF(AND(N4&lt;&gt;"미상",N4&lt;&gt;""),1,0))&amp;"/11"</f>
        <v/>
      </c>
      <c r="AD4" s="6" t="inlineStr">
        <is>
          <t>1캡슐 EPA66+DHA44=110mg(rTG오일137.6mg·순도80%)·멸치류 소형어·아스타잔틴5mg+d-토코페롤·블리스터개별포장·원료+완제품IFOS5★(TOTOX16.49·산가0.27·중금속통과)·Solutex/Viva제조·고양이1알 (상세페이지 실측)</t>
        </is>
      </c>
    </row>
    <row r="5">
      <c r="A5" s="6" t="inlineStr">
        <is>
          <t>4</t>
        </is>
      </c>
      <c r="B5" s="6" t="inlineStr">
        <is>
          <t>조공 데일리 퓨어 오메가-3 미니</t>
        </is>
      </c>
      <c r="C5" s="6" t="inlineStr">
        <is>
          <t>펫·캡슐</t>
        </is>
      </c>
      <c r="D5" s="7" t="n">
        <v>110</v>
      </c>
      <c r="E5" s="7" t="n">
        <v>75</v>
      </c>
      <c r="F5" s="7" t="inlineStr">
        <is>
          <t>명시</t>
        </is>
      </c>
      <c r="G5" s="7" t="inlineStr">
        <is>
          <t>rTG</t>
        </is>
      </c>
      <c r="H5" s="7" t="inlineStr">
        <is>
          <t>소형어</t>
        </is>
      </c>
      <c r="I5" s="7" t="inlineStr">
        <is>
          <t>있음</t>
        </is>
      </c>
      <c r="J5" s="7" t="inlineStr">
        <is>
          <t>보통</t>
        </is>
      </c>
      <c r="K5" s="7" t="inlineStr">
        <is>
          <t>캡슐</t>
        </is>
      </c>
      <c r="L5" s="7" t="inlineStr">
        <is>
          <t>있음</t>
        </is>
      </c>
      <c r="M5" s="7" t="inlineStr">
        <is>
          <t>공개</t>
        </is>
      </c>
      <c r="N5" s="7" t="inlineStr">
        <is>
          <t>명시</t>
        </is>
      </c>
      <c r="O5" s="7">
        <f>IF(H5="식물성","Y","N")</f>
        <v/>
      </c>
      <c r="P5" s="7" t="inlineStr">
        <is>
          <t>N</t>
        </is>
      </c>
      <c r="Q5" s="7">
        <f>IF(AND(J5="취약",I5&lt;&gt;"있음",OR(M5="없음",M5="미상")),"Y","N")</f>
        <v/>
      </c>
      <c r="R5" s="7" t="inlineStr">
        <is>
          <t>N</t>
        </is>
      </c>
      <c r="S5" s="8">
        <f>IF(NOT(ISNUMBER(D5)),0,IF(D5&gt;=300,20,IF(D5&gt;=200,15,IF(D5&gt;=100,10,5))))+IF(NOT(ISNUMBER(E5)),0,IF(E5&gt;=60,10,IF(E5&gt;=40,6,3)))+IFERROR(VLOOKUP(F5,기준!$B$4:$C$7,2,FALSE),0)</f>
        <v/>
      </c>
      <c r="T5" s="8">
        <f>IFERROR(VLOOKUP(I5,기준!$B$24:$C$26,2,FALSE),0)+IFERROR(VLOOKUP(J5,기준!$B$29:$C$32,2,FALSE),0)+IFERROR(VLOOKUP(K5,기준!$B$35:$C$41,2,FALSE),0)</f>
        <v/>
      </c>
      <c r="U5" s="8">
        <f>IFERROR(VLOOKUP(G5,기준!$B$10:$C$13,2,FALSE),0)+IFERROR(VLOOKUP(H5,기준!$B$16:$C$21,2,FALSE),0)</f>
        <v/>
      </c>
      <c r="V5" s="8">
        <f>IFERROR(VLOOKUP(L5,기준!$B$44:$C$46,2,FALSE),0)+IFERROR(VLOOKUP(M5,기준!$B$49:$C$52,2,FALSE),0)+IFERROR(VLOOKUP(N5,기준!$B$55:$C$58,2,FALSE),0)</f>
        <v/>
      </c>
      <c r="W5" s="8">
        <f>SUM(S5:V5)</f>
        <v/>
      </c>
      <c r="X5" s="8">
        <f>MIN(IF(O5="Y",20,100),IF(P5="Y",40,100),IF(Q5="Y",50,100),IF(R5="Y",40,100))</f>
        <v/>
      </c>
      <c r="Y5" s="8">
        <f>MIN(W5,X5)</f>
        <v/>
      </c>
      <c r="Z5" s="8">
        <f>RANK(Y5,$Y$2:$Y$34,0)</f>
        <v/>
      </c>
      <c r="AA5" s="7" t="inlineStr">
        <is>
          <t>공개·검증</t>
        </is>
      </c>
      <c r="AB5" s="7" t="inlineStr">
        <is>
          <t>일반유지(EPA 2:1)</t>
        </is>
      </c>
      <c r="AC5" s="6">
        <f>(IF(ISNUMBER(D5),1,0)+IF(ISNUMBER(E5),1,0)+IF(AND(F5&lt;&gt;"미상",F5&lt;&gt;""),1,0)+IF(AND(G5&lt;&gt;"미상",G5&lt;&gt;""),1,0)+IF(AND(H5&lt;&gt;"미상",H5&lt;&gt;""),1,0)+IF(AND(I5&lt;&gt;"미상",I5&lt;&gt;""),1,0)+IF(AND(J5&lt;&gt;"미상",J5&lt;&gt;""),1,0)+IF(AND(K5&lt;&gt;"미상",K5&lt;&gt;""),1,0)+IF(AND(L5&lt;&gt;"미상",L5&lt;&gt;""),1,0)+IF(AND(M5&lt;&gt;"미상",M5&lt;&gt;""),1,0)+IF(AND(N5&lt;&gt;"미상",N5&lt;&gt;""),1,0))&amp;"/11"</f>
        <v/>
      </c>
      <c r="AD5" s="6" t="inlineStr">
        <is>
          <t>1캡슐 EPA73.3+DHA36.7=110mg(rTG오일146.67mg·순도75%)·멸치류 소형어·d-토코페롤5.4mg·90캡슐 병포장·원료+완제품IFOS5★(TOTOX16.48·산가0.11·중금속통과)·Solutex Omegatex·고양이1알 (상세페이지 실측)</t>
        </is>
      </c>
    </row>
    <row r="6">
      <c r="A6" s="6" t="inlineStr">
        <is>
          <t>5</t>
        </is>
      </c>
      <c r="B6" s="6" t="inlineStr">
        <is>
          <t>묘견서 오메가3</t>
        </is>
      </c>
      <c r="C6" s="6" t="inlineStr">
        <is>
          <t>펫·캡슐</t>
        </is>
      </c>
      <c r="D6" s="7" t="n">
        <v>320</v>
      </c>
      <c r="E6" s="7" t="n">
        <v>80</v>
      </c>
      <c r="F6" s="7" t="inlineStr">
        <is>
          <t>명시</t>
        </is>
      </c>
      <c r="G6" s="7" t="inlineStr">
        <is>
          <t>rTG</t>
        </is>
      </c>
      <c r="H6" s="7" t="inlineStr">
        <is>
          <t>소형어</t>
        </is>
      </c>
      <c r="I6" s="7" t="inlineStr">
        <is>
          <t>있음</t>
        </is>
      </c>
      <c r="J6" s="7" t="inlineStr">
        <is>
          <t>우수</t>
        </is>
      </c>
      <c r="K6" s="7" t="inlineStr">
        <is>
          <t>캡슐</t>
        </is>
      </c>
      <c r="L6" s="7" t="inlineStr">
        <is>
          <t>있음</t>
        </is>
      </c>
      <c r="M6" s="7" t="inlineStr">
        <is>
          <t>공개</t>
        </is>
      </c>
      <c r="N6" s="7" t="inlineStr">
        <is>
          <t>명시</t>
        </is>
      </c>
      <c r="O6" s="7">
        <f>IF(H6="식물성","Y","N")</f>
        <v/>
      </c>
      <c r="P6" s="7" t="inlineStr">
        <is>
          <t>N</t>
        </is>
      </c>
      <c r="Q6" s="7">
        <f>IF(AND(J6="취약",I6&lt;&gt;"있음",OR(M6="없음",M6="미상")),"Y","N")</f>
        <v/>
      </c>
      <c r="R6" s="7" t="inlineStr">
        <is>
          <t>N</t>
        </is>
      </c>
      <c r="S6" s="8">
        <f>IF(NOT(ISNUMBER(D6)),0,IF(D6&gt;=300,20,IF(D6&gt;=200,15,IF(D6&gt;=100,10,5))))+IF(NOT(ISNUMBER(E6)),0,IF(E6&gt;=60,10,IF(E6&gt;=40,6,3)))+IFERROR(VLOOKUP(F6,기준!$B$4:$C$7,2,FALSE),0)</f>
        <v/>
      </c>
      <c r="T6" s="8">
        <f>IFERROR(VLOOKUP(I6,기준!$B$24:$C$26,2,FALSE),0)+IFERROR(VLOOKUP(J6,기준!$B$29:$C$32,2,FALSE),0)+IFERROR(VLOOKUP(K6,기준!$B$35:$C$41,2,FALSE),0)</f>
        <v/>
      </c>
      <c r="U6" s="8">
        <f>IFERROR(VLOOKUP(G6,기준!$B$10:$C$13,2,FALSE),0)+IFERROR(VLOOKUP(H6,기준!$B$16:$C$21,2,FALSE),0)</f>
        <v/>
      </c>
      <c r="V6" s="8">
        <f>IFERROR(VLOOKUP(L6,기준!$B$44:$C$46,2,FALSE),0)+IFERROR(VLOOKUP(M6,기준!$B$49:$C$52,2,FALSE),0)+IFERROR(VLOOKUP(N6,기준!$B$55:$C$58,2,FALSE),0)</f>
        <v/>
      </c>
      <c r="W6" s="8">
        <f>SUM(S6:V6)</f>
        <v/>
      </c>
      <c r="X6" s="8">
        <f>MIN(IF(O6="Y",20,100),IF(P6="Y",40,100),IF(Q6="Y",50,100),IF(R6="Y",40,100))</f>
        <v/>
      </c>
      <c r="Y6" s="8">
        <f>MIN(W6,X6)</f>
        <v/>
      </c>
      <c r="Z6" s="8">
        <f>RANK(Y6,$Y$2:$Y$34,0)</f>
        <v/>
      </c>
      <c r="AA6" s="7" t="inlineStr">
        <is>
          <t>공개·검증</t>
        </is>
      </c>
      <c r="AB6" s="7" t="inlineStr">
        <is>
          <t>관절·신장(EPA우세)</t>
        </is>
      </c>
      <c r="AC6" s="6">
        <f>(IF(ISNUMBER(D6),1,0)+IF(ISNUMBER(E6),1,0)+IF(AND(F6&lt;&gt;"미상",F6&lt;&gt;""),1,0)+IF(AND(G6&lt;&gt;"미상",G6&lt;&gt;""),1,0)+IF(AND(H6&lt;&gt;"미상",H6&lt;&gt;""),1,0)+IF(AND(I6&lt;&gt;"미상",I6&lt;&gt;""),1,0)+IF(AND(J6&lt;&gt;"미상",J6&lt;&gt;""),1,0)+IF(AND(K6&lt;&gt;"미상",K6&lt;&gt;""),1,0)+IF(AND(L6&lt;&gt;"미상",L6&lt;&gt;""),1,0)+IF(AND(M6&lt;&gt;"미상",M6&lt;&gt;""),1,0)+IF(AND(N6&lt;&gt;"미상",N6&lt;&gt;""),1,0))&amp;"/11"</f>
        <v/>
      </c>
      <c r="AD6" s="6" t="inlineStr">
        <is>
          <t>1캡슐 EPA192+DHA128=320mg(정제어유400mg·순도80%)·rTG·멸치/정어리/고등어·d-토코페롤·PVDC개별포장·IFOS5★완제품+RTCP(TOTOX13.07·산가0.20·중금속통과)·KD파마480320TG (상세페이지 실측)</t>
        </is>
      </c>
    </row>
    <row r="7">
      <c r="A7" s="6" t="inlineStr">
        <is>
          <t>6</t>
        </is>
      </c>
      <c r="B7" s="6" t="inlineStr">
        <is>
          <t>노르딕내추럴스 펫</t>
        </is>
      </c>
      <c r="C7" s="6" t="inlineStr">
        <is>
          <t>펫·캡슐</t>
        </is>
      </c>
      <c r="D7" s="7" t="n">
        <v>255</v>
      </c>
      <c r="E7" s="7" t="n">
        <v>26</v>
      </c>
      <c r="F7" s="7" t="inlineStr">
        <is>
          <t>명시</t>
        </is>
      </c>
      <c r="G7" s="7" t="inlineStr">
        <is>
          <t>TG</t>
        </is>
      </c>
      <c r="H7" s="7" t="inlineStr">
        <is>
          <t>소형어</t>
        </is>
      </c>
      <c r="I7" s="7" t="inlineStr">
        <is>
          <t>있음</t>
        </is>
      </c>
      <c r="J7" s="7" t="inlineStr">
        <is>
          <t>보통</t>
        </is>
      </c>
      <c r="K7" s="7" t="inlineStr">
        <is>
          <t>소프트젤</t>
        </is>
      </c>
      <c r="L7" s="7" t="inlineStr">
        <is>
          <t>미상</t>
        </is>
      </c>
      <c r="M7" s="7" t="inlineStr">
        <is>
          <t>일부</t>
        </is>
      </c>
      <c r="N7" s="7" t="inlineStr">
        <is>
          <t>명시</t>
        </is>
      </c>
      <c r="O7" s="7">
        <f>IF(H7="식물성","Y","N")</f>
        <v/>
      </c>
      <c r="P7" s="7" t="inlineStr">
        <is>
          <t>N</t>
        </is>
      </c>
      <c r="Q7" s="7">
        <f>IF(AND(J7="취약",I7&lt;&gt;"있음",OR(M7="없음",M7="미상")),"Y","N")</f>
        <v/>
      </c>
      <c r="R7" s="7" t="inlineStr">
        <is>
          <t>N</t>
        </is>
      </c>
      <c r="S7" s="8">
        <f>IF(NOT(ISNUMBER(D7)),0,IF(D7&gt;=300,20,IF(D7&gt;=200,15,IF(D7&gt;=100,10,5))))+IF(NOT(ISNUMBER(E7)),0,IF(E7&gt;=60,10,IF(E7&gt;=40,6,3)))+IFERROR(VLOOKUP(F7,기준!$B$4:$C$7,2,FALSE),0)</f>
        <v/>
      </c>
      <c r="T7" s="8">
        <f>IFERROR(VLOOKUP(I7,기준!$B$24:$C$26,2,FALSE),0)+IFERROR(VLOOKUP(J7,기준!$B$29:$C$32,2,FALSE),0)+IFERROR(VLOOKUP(K7,기준!$B$35:$C$41,2,FALSE),0)</f>
        <v/>
      </c>
      <c r="U7" s="8">
        <f>IFERROR(VLOOKUP(G7,기준!$B$10:$C$13,2,FALSE),0)+IFERROR(VLOOKUP(H7,기준!$B$16:$C$21,2,FALSE),0)</f>
        <v/>
      </c>
      <c r="V7" s="8">
        <f>IFERROR(VLOOKUP(L7,기준!$B$44:$C$46,2,FALSE),0)+IFERROR(VLOOKUP(M7,기준!$B$49:$C$52,2,FALSE),0)+IFERROR(VLOOKUP(N7,기준!$B$55:$C$58,2,FALSE),0)</f>
        <v/>
      </c>
      <c r="W7" s="8">
        <f>SUM(S7:V7)</f>
        <v/>
      </c>
      <c r="X7" s="8">
        <f>MIN(IF(O7="Y",20,100),IF(P7="Y",40,100),IF(Q7="Y",50,100),IF(R7="Y",40,100))</f>
        <v/>
      </c>
      <c r="Y7" s="8">
        <f>MIN(W7,X7)</f>
        <v/>
      </c>
      <c r="Z7" s="8">
        <f>RANK(Y7,$Y$2:$Y$34,0)</f>
        <v/>
      </c>
      <c r="AA7" s="7" t="inlineStr">
        <is>
          <t>공개·검증</t>
        </is>
      </c>
      <c r="AB7" s="7" t="inlineStr">
        <is>
          <t>미정</t>
        </is>
      </c>
      <c r="AC7" s="6">
        <f>(IF(ISNUMBER(D7),1,0)+IF(ISNUMBER(E7),1,0)+IF(AND(F7&lt;&gt;"미상",F7&lt;&gt;""),1,0)+IF(AND(G7&lt;&gt;"미상",G7&lt;&gt;""),1,0)+IF(AND(H7&lt;&gt;"미상",H7&lt;&gt;""),1,0)+IF(AND(I7&lt;&gt;"미상",I7&lt;&gt;""),1,0)+IF(AND(J7&lt;&gt;"미상",J7&lt;&gt;""),1,0)+IF(AND(K7&lt;&gt;"미상",K7&lt;&gt;""),1,0)+IF(AND(L7&lt;&gt;"미상",L7&lt;&gt;""),1,0)+IF(AND(M7&lt;&gt;"미상",M7&lt;&gt;""),1,0)+IF(AND(N7&lt;&gt;"미상",N7&lt;&gt;""),1,0))&amp;"/11"</f>
        <v/>
      </c>
      <c r="AD7" s="6" t="inlineStr">
        <is>
          <t>1소프트젤 EPA155+DHA100=255mg·멸치/정어리/고등어/청어·TG·토코페롤·배치별 시험공개 (onlynaturalpet/petco)</t>
        </is>
      </c>
    </row>
    <row r="8">
      <c r="A8" s="6" t="inlineStr">
        <is>
          <t>7</t>
        </is>
      </c>
      <c r="B8" s="6" t="inlineStr">
        <is>
          <t>88오메가가드</t>
        </is>
      </c>
      <c r="C8" s="6" t="inlineStr">
        <is>
          <t>펫·츄</t>
        </is>
      </c>
      <c r="D8" s="7" t="n"/>
      <c r="E8" s="7" t="n"/>
      <c r="F8" s="7" t="inlineStr">
        <is>
          <t>미상</t>
        </is>
      </c>
      <c r="G8" s="7" t="inlineStr">
        <is>
          <t>미상</t>
        </is>
      </c>
      <c r="H8" s="7" t="inlineStr">
        <is>
          <t>미상</t>
        </is>
      </c>
      <c r="I8" s="7" t="inlineStr">
        <is>
          <t>미상</t>
        </is>
      </c>
      <c r="J8" s="7" t="inlineStr">
        <is>
          <t>미상</t>
        </is>
      </c>
      <c r="K8" s="7" t="inlineStr">
        <is>
          <t>츄</t>
        </is>
      </c>
      <c r="L8" s="7" t="inlineStr">
        <is>
          <t>미상</t>
        </is>
      </c>
      <c r="M8" s="7" t="inlineStr">
        <is>
          <t>미상</t>
        </is>
      </c>
      <c r="N8" s="7" t="inlineStr">
        <is>
          <t>미상</t>
        </is>
      </c>
      <c r="O8" s="7">
        <f>IF(H8="식물성","Y","N")</f>
        <v/>
      </c>
      <c r="P8" s="7" t="inlineStr">
        <is>
          <t>N</t>
        </is>
      </c>
      <c r="Q8" s="7">
        <f>IF(AND(J8="취약",I8&lt;&gt;"있음",OR(M8="없음",M8="미상")),"Y","N")</f>
        <v/>
      </c>
      <c r="R8" s="7" t="inlineStr">
        <is>
          <t>N</t>
        </is>
      </c>
      <c r="S8" s="8">
        <f>IF(NOT(ISNUMBER(D8)),0,IF(D8&gt;=300,20,IF(D8&gt;=200,15,IF(D8&gt;=100,10,5))))+IF(NOT(ISNUMBER(E8)),0,IF(E8&gt;=60,10,IF(E8&gt;=40,6,3)))+IFERROR(VLOOKUP(F8,기준!$B$4:$C$7,2,FALSE),0)</f>
        <v/>
      </c>
      <c r="T8" s="8">
        <f>IFERROR(VLOOKUP(I8,기준!$B$24:$C$26,2,FALSE),0)+IFERROR(VLOOKUP(J8,기준!$B$29:$C$32,2,FALSE),0)+IFERROR(VLOOKUP(K8,기준!$B$35:$C$41,2,FALSE),0)</f>
        <v/>
      </c>
      <c r="U8" s="8">
        <f>IFERROR(VLOOKUP(G8,기준!$B$10:$C$13,2,FALSE),0)+IFERROR(VLOOKUP(H8,기준!$B$16:$C$21,2,FALSE),0)</f>
        <v/>
      </c>
      <c r="V8" s="8">
        <f>IFERROR(VLOOKUP(L8,기준!$B$44:$C$46,2,FALSE),0)+IFERROR(VLOOKUP(M8,기준!$B$49:$C$52,2,FALSE),0)+IFERROR(VLOOKUP(N8,기준!$B$55:$C$58,2,FALSE),0)</f>
        <v/>
      </c>
      <c r="W8" s="8">
        <f>SUM(S8:V8)</f>
        <v/>
      </c>
      <c r="X8" s="8">
        <f>MIN(IF(O8="Y",20,100),IF(P8="Y",40,100),IF(Q8="Y",50,100),IF(R8="Y",40,100))</f>
        <v/>
      </c>
      <c r="Y8" s="8">
        <f>MIN(W8,X8)</f>
        <v/>
      </c>
      <c r="Z8" s="8">
        <f>RANK(Y8,$Y$2:$Y$34,0)</f>
        <v/>
      </c>
      <c r="AA8" s="7" t="inlineStr">
        <is>
          <t>미상</t>
        </is>
      </c>
      <c r="AB8" s="7" t="inlineStr">
        <is>
          <t>미정</t>
        </is>
      </c>
      <c r="AC8" s="6">
        <f>(IF(ISNUMBER(D8),1,0)+IF(ISNUMBER(E8),1,0)+IF(AND(F8&lt;&gt;"미상",F8&lt;&gt;""),1,0)+IF(AND(G8&lt;&gt;"미상",G8&lt;&gt;""),1,0)+IF(AND(H8&lt;&gt;"미상",H8&lt;&gt;""),1,0)+IF(AND(I8&lt;&gt;"미상",I8&lt;&gt;""),1,0)+IF(AND(J8&lt;&gt;"미상",J8&lt;&gt;""),1,0)+IF(AND(K8&lt;&gt;"미상",K8&lt;&gt;""),1,0)+IF(AND(L8&lt;&gt;"미상",L8&lt;&gt;""),1,0)+IF(AND(M8&lt;&gt;"미상",M8&lt;&gt;""),1,0)+IF(AND(N8&lt;&gt;"미상",N8&lt;&gt;""),1,0))&amp;"/11"</f>
        <v/>
      </c>
      <c r="AD8" s="6" t="inlineStr">
        <is>
          <t>씹는 츄·스펙 수집중</t>
        </is>
      </c>
    </row>
    <row r="9">
      <c r="A9" s="6" t="inlineStr">
        <is>
          <t>8</t>
        </is>
      </c>
      <c r="B9" s="6" t="inlineStr">
        <is>
          <t>듀오메가 500mg</t>
        </is>
      </c>
      <c r="C9" s="6" t="inlineStr">
        <is>
          <t>펫·캡슐</t>
        </is>
      </c>
      <c r="D9" s="7" t="n"/>
      <c r="E9" s="7" t="n"/>
      <c r="F9" s="7" t="inlineStr">
        <is>
          <t>미상</t>
        </is>
      </c>
      <c r="G9" s="7" t="inlineStr">
        <is>
          <t>미상</t>
        </is>
      </c>
      <c r="H9" s="7" t="inlineStr">
        <is>
          <t>미상</t>
        </is>
      </c>
      <c r="I9" s="7" t="inlineStr">
        <is>
          <t>미상</t>
        </is>
      </c>
      <c r="J9" s="7" t="inlineStr">
        <is>
          <t>미상</t>
        </is>
      </c>
      <c r="K9" s="7" t="inlineStr">
        <is>
          <t>캡슐</t>
        </is>
      </c>
      <c r="L9" s="7" t="inlineStr">
        <is>
          <t>미상</t>
        </is>
      </c>
      <c r="M9" s="7" t="inlineStr">
        <is>
          <t>미상</t>
        </is>
      </c>
      <c r="N9" s="7" t="inlineStr">
        <is>
          <t>미상</t>
        </is>
      </c>
      <c r="O9" s="7">
        <f>IF(H9="식물성","Y","N")</f>
        <v/>
      </c>
      <c r="P9" s="7" t="inlineStr">
        <is>
          <t>N</t>
        </is>
      </c>
      <c r="Q9" s="7">
        <f>IF(AND(J9="취약",I9&lt;&gt;"있음",OR(M9="없음",M9="미상")),"Y","N")</f>
        <v/>
      </c>
      <c r="R9" s="7" t="inlineStr">
        <is>
          <t>N</t>
        </is>
      </c>
      <c r="S9" s="8">
        <f>IF(NOT(ISNUMBER(D9)),0,IF(D9&gt;=300,20,IF(D9&gt;=200,15,IF(D9&gt;=100,10,5))))+IF(NOT(ISNUMBER(E9)),0,IF(E9&gt;=60,10,IF(E9&gt;=40,6,3)))+IFERROR(VLOOKUP(F9,기준!$B$4:$C$7,2,FALSE),0)</f>
        <v/>
      </c>
      <c r="T9" s="8">
        <f>IFERROR(VLOOKUP(I9,기준!$B$24:$C$26,2,FALSE),0)+IFERROR(VLOOKUP(J9,기준!$B$29:$C$32,2,FALSE),0)+IFERROR(VLOOKUP(K9,기준!$B$35:$C$41,2,FALSE),0)</f>
        <v/>
      </c>
      <c r="U9" s="8">
        <f>IFERROR(VLOOKUP(G9,기준!$B$10:$C$13,2,FALSE),0)+IFERROR(VLOOKUP(H9,기준!$B$16:$C$21,2,FALSE),0)</f>
        <v/>
      </c>
      <c r="V9" s="8">
        <f>IFERROR(VLOOKUP(L9,기준!$B$44:$C$46,2,FALSE),0)+IFERROR(VLOOKUP(M9,기준!$B$49:$C$52,2,FALSE),0)+IFERROR(VLOOKUP(N9,기준!$B$55:$C$58,2,FALSE),0)</f>
        <v/>
      </c>
      <c r="W9" s="8">
        <f>SUM(S9:V9)</f>
        <v/>
      </c>
      <c r="X9" s="8">
        <f>MIN(IF(O9="Y",20,100),IF(P9="Y",40,100),IF(Q9="Y",50,100),IF(R9="Y",40,100))</f>
        <v/>
      </c>
      <c r="Y9" s="8">
        <f>MIN(W9,X9)</f>
        <v/>
      </c>
      <c r="Z9" s="8">
        <f>RANK(Y9,$Y$2:$Y$34,0)</f>
        <v/>
      </c>
      <c r="AA9" s="7" t="inlineStr">
        <is>
          <t>미상</t>
        </is>
      </c>
      <c r="AB9" s="7" t="inlineStr">
        <is>
          <t>미정</t>
        </is>
      </c>
      <c r="AC9" s="6">
        <f>(IF(ISNUMBER(D9),1,0)+IF(ISNUMBER(E9),1,0)+IF(AND(F9&lt;&gt;"미상",F9&lt;&gt;""),1,0)+IF(AND(G9&lt;&gt;"미상",G9&lt;&gt;""),1,0)+IF(AND(H9&lt;&gt;"미상",H9&lt;&gt;""),1,0)+IF(AND(I9&lt;&gt;"미상",I9&lt;&gt;""),1,0)+IF(AND(J9&lt;&gt;"미상",J9&lt;&gt;""),1,0)+IF(AND(K9&lt;&gt;"미상",K9&lt;&gt;""),1,0)+IF(AND(L9&lt;&gt;"미상",L9&lt;&gt;""),1,0)+IF(AND(M9&lt;&gt;"미상",M9&lt;&gt;""),1,0)+IF(AND(N9&lt;&gt;"미상",N9&lt;&gt;""),1,0))&amp;"/11"</f>
        <v/>
      </c>
      <c r="AD9" s="6" t="inlineStr">
        <is>
          <t>표시 500mg(오일 추정)·EPA+DHA 미상</t>
        </is>
      </c>
    </row>
    <row r="10">
      <c r="A10" s="6" t="inlineStr">
        <is>
          <t>9</t>
        </is>
      </c>
      <c r="B10" s="6" t="inlineStr">
        <is>
          <t>아베텍 오메가3벳</t>
        </is>
      </c>
      <c r="C10" s="6" t="inlineStr">
        <is>
          <t>펫·액상</t>
        </is>
      </c>
      <c r="D10" s="7" t="n"/>
      <c r="E10" s="7" t="n"/>
      <c r="F10" s="7" t="inlineStr">
        <is>
          <t>미상</t>
        </is>
      </c>
      <c r="G10" s="7" t="inlineStr">
        <is>
          <t>미상</t>
        </is>
      </c>
      <c r="H10" s="7" t="inlineStr">
        <is>
          <t>일반어</t>
        </is>
      </c>
      <c r="I10" s="7" t="inlineStr">
        <is>
          <t>있음</t>
        </is>
      </c>
      <c r="J10" s="7" t="inlineStr">
        <is>
          <t>미상</t>
        </is>
      </c>
      <c r="K10" s="7" t="inlineStr">
        <is>
          <t>펌프액상</t>
        </is>
      </c>
      <c r="L10" s="7" t="inlineStr">
        <is>
          <t>미상</t>
        </is>
      </c>
      <c r="M10" s="7" t="inlineStr">
        <is>
          <t>미상</t>
        </is>
      </c>
      <c r="N10" s="7" t="inlineStr">
        <is>
          <t>일부</t>
        </is>
      </c>
      <c r="O10" s="7">
        <f>IF(H10="식물성","Y","N")</f>
        <v/>
      </c>
      <c r="P10" s="7" t="inlineStr">
        <is>
          <t>N</t>
        </is>
      </c>
      <c r="Q10" s="7">
        <f>IF(AND(J10="취약",I10&lt;&gt;"있음",OR(M10="없음",M10="미상")),"Y","N")</f>
        <v/>
      </c>
      <c r="R10" s="7" t="inlineStr">
        <is>
          <t>N</t>
        </is>
      </c>
      <c r="S10" s="8">
        <f>IF(NOT(ISNUMBER(D10)),0,IF(D10&gt;=300,20,IF(D10&gt;=200,15,IF(D10&gt;=100,10,5))))+IF(NOT(ISNUMBER(E10)),0,IF(E10&gt;=60,10,IF(E10&gt;=40,6,3)))+IFERROR(VLOOKUP(F10,기준!$B$4:$C$7,2,FALSE),0)</f>
        <v/>
      </c>
      <c r="T10" s="8">
        <f>IFERROR(VLOOKUP(I10,기준!$B$24:$C$26,2,FALSE),0)+IFERROR(VLOOKUP(J10,기준!$B$29:$C$32,2,FALSE),0)+IFERROR(VLOOKUP(K10,기준!$B$35:$C$41,2,FALSE),0)</f>
        <v/>
      </c>
      <c r="U10" s="8">
        <f>IFERROR(VLOOKUP(G10,기준!$B$10:$C$13,2,FALSE),0)+IFERROR(VLOOKUP(H10,기준!$B$16:$C$21,2,FALSE),0)</f>
        <v/>
      </c>
      <c r="V10" s="8">
        <f>IFERROR(VLOOKUP(L10,기준!$B$44:$C$46,2,FALSE),0)+IFERROR(VLOOKUP(M10,기준!$B$49:$C$52,2,FALSE),0)+IFERROR(VLOOKUP(N10,기준!$B$55:$C$58,2,FALSE),0)</f>
        <v/>
      </c>
      <c r="W10" s="8">
        <f>SUM(S10:V10)</f>
        <v/>
      </c>
      <c r="X10" s="8">
        <f>MIN(IF(O10="Y",20,100),IF(P10="Y",40,100),IF(Q10="Y",50,100),IF(R10="Y",40,100))</f>
        <v/>
      </c>
      <c r="Y10" s="8">
        <f>MIN(W10,X10)</f>
        <v/>
      </c>
      <c r="Z10" s="8">
        <f>RANK(Y10,$Y$2:$Y$34,0)</f>
        <v/>
      </c>
      <c r="AA10" s="7" t="inlineStr">
        <is>
          <t>라벨만</t>
        </is>
      </c>
      <c r="AB10" s="7" t="inlineStr">
        <is>
          <t>미정</t>
        </is>
      </c>
      <c r="AC10" s="6">
        <f>(IF(ISNUMBER(D10),1,0)+IF(ISNUMBER(E10),1,0)+IF(AND(F10&lt;&gt;"미상",F10&lt;&gt;""),1,0)+IF(AND(G10&lt;&gt;"미상",G10&lt;&gt;""),1,0)+IF(AND(H10&lt;&gt;"미상",H10&lt;&gt;""),1,0)+IF(AND(I10&lt;&gt;"미상",I10&lt;&gt;""),1,0)+IF(AND(J10&lt;&gt;"미상",J10&lt;&gt;""),1,0)+IF(AND(K10&lt;&gt;"미상",K10&lt;&gt;""),1,0)+IF(AND(L10&lt;&gt;"미상",L10&lt;&gt;""),1,0)+IF(AND(M10&lt;&gt;"미상",M10&lt;&gt;""),1,0)+IF(AND(N10&lt;&gt;"미상",N10&lt;&gt;""),1,0))&amp;"/11"</f>
        <v/>
      </c>
      <c r="AD10" s="6" t="inlineStr">
        <is>
          <t>아베텍 오메가3벳 125ml 액상·남태평양/남극해 청정해역 바다생선(고함량 DHA·EPA·동물성)·고순도 정제(수직계열화)·천연항산화제·원산지 region만 명시(원료사 일부)·EPA+DHA mg·순도·형태(rTG/TG) 공식사이트도 미공개 (공식 a-vetech.com/94?idx=165·easypet 확인 20260620)</t>
        </is>
      </c>
    </row>
    <row r="11">
      <c r="A11" s="6" t="inlineStr">
        <is>
          <t>10</t>
        </is>
      </c>
      <c r="B11" s="6" t="inlineStr">
        <is>
          <t>페스룸 타이니 오메가-3</t>
        </is>
      </c>
      <c r="C11" s="6" t="inlineStr">
        <is>
          <t>펫·캡슐</t>
        </is>
      </c>
      <c r="D11" s="7" t="n">
        <v>40</v>
      </c>
      <c r="E11" s="7" t="n">
        <v>80</v>
      </c>
      <c r="F11" s="7" t="inlineStr">
        <is>
          <t>명시</t>
        </is>
      </c>
      <c r="G11" s="7" t="inlineStr">
        <is>
          <t>rTG</t>
        </is>
      </c>
      <c r="H11" s="7" t="inlineStr">
        <is>
          <t>소형어</t>
        </is>
      </c>
      <c r="I11" s="7" t="inlineStr">
        <is>
          <t>있음</t>
        </is>
      </c>
      <c r="J11" s="7" t="inlineStr">
        <is>
          <t>보통</t>
        </is>
      </c>
      <c r="K11" s="7" t="inlineStr">
        <is>
          <t>캡슐</t>
        </is>
      </c>
      <c r="L11" s="7" t="inlineStr">
        <is>
          <t>있음</t>
        </is>
      </c>
      <c r="M11" s="7" t="inlineStr">
        <is>
          <t>미상</t>
        </is>
      </c>
      <c r="N11" s="7" t="inlineStr">
        <is>
          <t>명시</t>
        </is>
      </c>
      <c r="O11" s="7">
        <f>IF(H11="식물성","Y","N")</f>
        <v/>
      </c>
      <c r="P11" s="7" t="inlineStr">
        <is>
          <t>N</t>
        </is>
      </c>
      <c r="Q11" s="7">
        <f>IF(AND(J11="취약",I11&lt;&gt;"있음",OR(M11="없음",M11="미상")),"Y","N")</f>
        <v/>
      </c>
      <c r="R11" s="7" t="inlineStr">
        <is>
          <t>N</t>
        </is>
      </c>
      <c r="S11" s="8">
        <f>IF(NOT(ISNUMBER(D11)),0,IF(D11&gt;=300,20,IF(D11&gt;=200,15,IF(D11&gt;=100,10,5))))+IF(NOT(ISNUMBER(E11)),0,IF(E11&gt;=60,10,IF(E11&gt;=40,6,3)))+IFERROR(VLOOKUP(F11,기준!$B$4:$C$7,2,FALSE),0)</f>
        <v/>
      </c>
      <c r="T11" s="8">
        <f>IFERROR(VLOOKUP(I11,기준!$B$24:$C$26,2,FALSE),0)+IFERROR(VLOOKUP(J11,기준!$B$29:$C$32,2,FALSE),0)+IFERROR(VLOOKUP(K11,기준!$B$35:$C$41,2,FALSE),0)</f>
        <v/>
      </c>
      <c r="U11" s="8">
        <f>IFERROR(VLOOKUP(G11,기준!$B$10:$C$13,2,FALSE),0)+IFERROR(VLOOKUP(H11,기준!$B$16:$C$21,2,FALSE),0)</f>
        <v/>
      </c>
      <c r="V11" s="8">
        <f>IFERROR(VLOOKUP(L11,기준!$B$44:$C$46,2,FALSE),0)+IFERROR(VLOOKUP(M11,기준!$B$49:$C$52,2,FALSE),0)+IFERROR(VLOOKUP(N11,기준!$B$55:$C$58,2,FALSE),0)</f>
        <v/>
      </c>
      <c r="W11" s="8">
        <f>SUM(S11:V11)</f>
        <v/>
      </c>
      <c r="X11" s="8">
        <f>MIN(IF(O11="Y",20,100),IF(P11="Y",40,100),IF(Q11="Y",50,100),IF(R11="Y",40,100))</f>
        <v/>
      </c>
      <c r="Y11" s="8">
        <f>MIN(W11,X11)</f>
        <v/>
      </c>
      <c r="Z11" s="8">
        <f>RANK(Y11,$Y$2:$Y$34,0)</f>
        <v/>
      </c>
      <c r="AA11" s="7" t="inlineStr">
        <is>
          <t>라벨만</t>
        </is>
      </c>
      <c r="AB11" s="7" t="inlineStr">
        <is>
          <t>일반유지</t>
        </is>
      </c>
      <c r="AC11" s="6">
        <f>(IF(ISNUMBER(D11),1,0)+IF(ISNUMBER(E11),1,0)+IF(AND(F11&lt;&gt;"미상",F11&lt;&gt;""),1,0)+IF(AND(G11&lt;&gt;"미상",G11&lt;&gt;""),1,0)+IF(AND(H11&lt;&gt;"미상",H11&lt;&gt;""),1,0)+IF(AND(I11&lt;&gt;"미상",I11&lt;&gt;""),1,0)+IF(AND(J11&lt;&gt;"미상",J11&lt;&gt;""),1,0)+IF(AND(K11&lt;&gt;"미상",K11&lt;&gt;""),1,0)+IF(AND(L11&lt;&gt;"미상",L11&lt;&gt;""),1,0)+IF(AND(M11&lt;&gt;"미상",M11&lt;&gt;""),1,0)+IF(AND(N11&lt;&gt;"미상",N11&lt;&gt;""),1,0))&amp;"/11"</f>
        <v/>
      </c>
      <c r="AD11" s="6" t="inlineStr">
        <is>
          <t>페스룸 TINY 오메가3 50mg(소형견·고양이 추천 SKU)·1캡슐 50mg 중 EPA+DHA 40mg·순도80%·3세대 rTG·멸치/청어 소형어·비타민E 0.13mg·통포장·KD Pharma(독일) 원료·IFOS5★+GOED 인증원료·150캡슐(0.5cm)·100mg형은 EPA48+DHA32=80mg/블리스터개별 (pethroom product_no=702 자동수집+비전 20260620)</t>
        </is>
      </c>
    </row>
    <row r="12">
      <c r="A12" s="6" t="inlineStr">
        <is>
          <t>11</t>
        </is>
      </c>
      <c r="B12" s="6" t="inlineStr">
        <is>
          <t>룰루파마 오메가3</t>
        </is>
      </c>
      <c r="C12" s="6" t="inlineStr">
        <is>
          <t>펫</t>
        </is>
      </c>
      <c r="D12" s="7" t="n"/>
      <c r="E12" s="7" t="n"/>
      <c r="F12" s="7" t="inlineStr">
        <is>
          <t>미상</t>
        </is>
      </c>
      <c r="G12" s="7" t="inlineStr">
        <is>
          <t>미상</t>
        </is>
      </c>
      <c r="H12" s="7" t="inlineStr">
        <is>
          <t>미상</t>
        </is>
      </c>
      <c r="I12" s="7" t="inlineStr">
        <is>
          <t>미상</t>
        </is>
      </c>
      <c r="J12" s="7" t="inlineStr">
        <is>
          <t>미상</t>
        </is>
      </c>
      <c r="K12" s="7" t="inlineStr">
        <is>
          <t>미상</t>
        </is>
      </c>
      <c r="L12" s="7" t="inlineStr">
        <is>
          <t>미상</t>
        </is>
      </c>
      <c r="M12" s="7" t="inlineStr">
        <is>
          <t>미상</t>
        </is>
      </c>
      <c r="N12" s="7" t="inlineStr">
        <is>
          <t>미상</t>
        </is>
      </c>
      <c r="O12" s="7">
        <f>IF(H12="식물성","Y","N")</f>
        <v/>
      </c>
      <c r="P12" s="7" t="inlineStr">
        <is>
          <t>N</t>
        </is>
      </c>
      <c r="Q12" s="7">
        <f>IF(AND(J12="취약",I12&lt;&gt;"있음",OR(M12="없음",M12="미상")),"Y","N")</f>
        <v/>
      </c>
      <c r="R12" s="7" t="inlineStr">
        <is>
          <t>N</t>
        </is>
      </c>
      <c r="S12" s="8">
        <f>IF(NOT(ISNUMBER(D12)),0,IF(D12&gt;=300,20,IF(D12&gt;=200,15,IF(D12&gt;=100,10,5))))+IF(NOT(ISNUMBER(E12)),0,IF(E12&gt;=60,10,IF(E12&gt;=40,6,3)))+IFERROR(VLOOKUP(F12,기준!$B$4:$C$7,2,FALSE),0)</f>
        <v/>
      </c>
      <c r="T12" s="8">
        <f>IFERROR(VLOOKUP(I12,기준!$B$24:$C$26,2,FALSE),0)+IFERROR(VLOOKUP(J12,기준!$B$29:$C$32,2,FALSE),0)+IFERROR(VLOOKUP(K12,기준!$B$35:$C$41,2,FALSE),0)</f>
        <v/>
      </c>
      <c r="U12" s="8">
        <f>IFERROR(VLOOKUP(G12,기준!$B$10:$C$13,2,FALSE),0)+IFERROR(VLOOKUP(H12,기준!$B$16:$C$21,2,FALSE),0)</f>
        <v/>
      </c>
      <c r="V12" s="8">
        <f>IFERROR(VLOOKUP(L12,기준!$B$44:$C$46,2,FALSE),0)+IFERROR(VLOOKUP(M12,기준!$B$49:$C$52,2,FALSE),0)+IFERROR(VLOOKUP(N12,기준!$B$55:$C$58,2,FALSE),0)</f>
        <v/>
      </c>
      <c r="W12" s="8">
        <f>SUM(S12:V12)</f>
        <v/>
      </c>
      <c r="X12" s="8">
        <f>MIN(IF(O12="Y",20,100),IF(P12="Y",40,100),IF(Q12="Y",50,100),IF(R12="Y",40,100))</f>
        <v/>
      </c>
      <c r="Y12" s="8">
        <f>MIN(W12,X12)</f>
        <v/>
      </c>
      <c r="Z12" s="8">
        <f>RANK(Y12,$Y$2:$Y$34,0)</f>
        <v/>
      </c>
      <c r="AA12" s="7" t="inlineStr">
        <is>
          <t>미상</t>
        </is>
      </c>
      <c r="AB12" s="7" t="inlineStr">
        <is>
          <t>미정</t>
        </is>
      </c>
      <c r="AC12" s="6">
        <f>(IF(ISNUMBER(D12),1,0)+IF(ISNUMBER(E12),1,0)+IF(AND(F12&lt;&gt;"미상",F12&lt;&gt;""),1,0)+IF(AND(G12&lt;&gt;"미상",G12&lt;&gt;""),1,0)+IF(AND(H12&lt;&gt;"미상",H12&lt;&gt;""),1,0)+IF(AND(I12&lt;&gt;"미상",I12&lt;&gt;""),1,0)+IF(AND(J12&lt;&gt;"미상",J12&lt;&gt;""),1,0)+IF(AND(K12&lt;&gt;"미상",K12&lt;&gt;""),1,0)+IF(AND(L12&lt;&gt;"미상",L12&lt;&gt;""),1,0)+IF(AND(M12&lt;&gt;"미상",M12&lt;&gt;""),1,0)+IF(AND(N12&lt;&gt;"미상",N12&lt;&gt;""),1,0))&amp;"/11"</f>
        <v/>
      </c>
      <c r="AD12" s="6" t="inlineStr">
        <is>
          <t>스펙 수집중</t>
        </is>
      </c>
    </row>
    <row r="13">
      <c r="A13" s="6" t="inlineStr">
        <is>
          <t>12</t>
        </is>
      </c>
      <c r="B13" s="6" t="inlineStr">
        <is>
          <t>씽크라이크펫 오메가3</t>
        </is>
      </c>
      <c r="C13" s="6" t="inlineStr">
        <is>
          <t>펫</t>
        </is>
      </c>
      <c r="D13" s="7" t="n"/>
      <c r="E13" s="7" t="n"/>
      <c r="F13" s="7" t="inlineStr">
        <is>
          <t>미상</t>
        </is>
      </c>
      <c r="G13" s="7" t="inlineStr">
        <is>
          <t>미상</t>
        </is>
      </c>
      <c r="H13" s="7" t="inlineStr">
        <is>
          <t>미상</t>
        </is>
      </c>
      <c r="I13" s="7" t="inlineStr">
        <is>
          <t>미상</t>
        </is>
      </c>
      <c r="J13" s="7" t="inlineStr">
        <is>
          <t>미상</t>
        </is>
      </c>
      <c r="K13" s="7" t="inlineStr">
        <is>
          <t>미상</t>
        </is>
      </c>
      <c r="L13" s="7" t="inlineStr">
        <is>
          <t>미상</t>
        </is>
      </c>
      <c r="M13" s="7" t="inlineStr">
        <is>
          <t>미상</t>
        </is>
      </c>
      <c r="N13" s="7" t="inlineStr">
        <is>
          <t>미상</t>
        </is>
      </c>
      <c r="O13" s="7">
        <f>IF(H13="식물성","Y","N")</f>
        <v/>
      </c>
      <c r="P13" s="7" t="inlineStr">
        <is>
          <t>N</t>
        </is>
      </c>
      <c r="Q13" s="7">
        <f>IF(AND(J13="취약",I13&lt;&gt;"있음",OR(M13="없음",M13="미상")),"Y","N")</f>
        <v/>
      </c>
      <c r="R13" s="7" t="inlineStr">
        <is>
          <t>N</t>
        </is>
      </c>
      <c r="S13" s="8">
        <f>IF(NOT(ISNUMBER(D13)),0,IF(D13&gt;=300,20,IF(D13&gt;=200,15,IF(D13&gt;=100,10,5))))+IF(NOT(ISNUMBER(E13)),0,IF(E13&gt;=60,10,IF(E13&gt;=40,6,3)))+IFERROR(VLOOKUP(F13,기준!$B$4:$C$7,2,FALSE),0)</f>
        <v/>
      </c>
      <c r="T13" s="8">
        <f>IFERROR(VLOOKUP(I13,기준!$B$24:$C$26,2,FALSE),0)+IFERROR(VLOOKUP(J13,기준!$B$29:$C$32,2,FALSE),0)+IFERROR(VLOOKUP(K13,기준!$B$35:$C$41,2,FALSE),0)</f>
        <v/>
      </c>
      <c r="U13" s="8">
        <f>IFERROR(VLOOKUP(G13,기준!$B$10:$C$13,2,FALSE),0)+IFERROR(VLOOKUP(H13,기준!$B$16:$C$21,2,FALSE),0)</f>
        <v/>
      </c>
      <c r="V13" s="8">
        <f>IFERROR(VLOOKUP(L13,기준!$B$44:$C$46,2,FALSE),0)+IFERROR(VLOOKUP(M13,기준!$B$49:$C$52,2,FALSE),0)+IFERROR(VLOOKUP(N13,기준!$B$55:$C$58,2,FALSE),0)</f>
        <v/>
      </c>
      <c r="W13" s="8">
        <f>SUM(S13:V13)</f>
        <v/>
      </c>
      <c r="X13" s="8">
        <f>MIN(IF(O13="Y",20,100),IF(P13="Y",40,100),IF(Q13="Y",50,100),IF(R13="Y",40,100))</f>
        <v/>
      </c>
      <c r="Y13" s="8">
        <f>MIN(W13,X13)</f>
        <v/>
      </c>
      <c r="Z13" s="8">
        <f>RANK(Y13,$Y$2:$Y$34,0)</f>
        <v/>
      </c>
      <c r="AA13" s="7" t="inlineStr">
        <is>
          <t>미상</t>
        </is>
      </c>
      <c r="AB13" s="7" t="inlineStr">
        <is>
          <t>미정</t>
        </is>
      </c>
      <c r="AC13" s="6">
        <f>(IF(ISNUMBER(D13),1,0)+IF(ISNUMBER(E13),1,0)+IF(AND(F13&lt;&gt;"미상",F13&lt;&gt;""),1,0)+IF(AND(G13&lt;&gt;"미상",G13&lt;&gt;""),1,0)+IF(AND(H13&lt;&gt;"미상",H13&lt;&gt;""),1,0)+IF(AND(I13&lt;&gt;"미상",I13&lt;&gt;""),1,0)+IF(AND(J13&lt;&gt;"미상",J13&lt;&gt;""),1,0)+IF(AND(K13&lt;&gt;"미상",K13&lt;&gt;""),1,0)+IF(AND(L13&lt;&gt;"미상",L13&lt;&gt;""),1,0)+IF(AND(M13&lt;&gt;"미상",M13&lt;&gt;""),1,0)+IF(AND(N13&lt;&gt;"미상",N13&lt;&gt;""),1,0))&amp;"/11"</f>
        <v/>
      </c>
      <c r="AD13" s="6" t="inlineStr">
        <is>
          <t>스펙 수집중</t>
        </is>
      </c>
    </row>
    <row r="14">
      <c r="A14" s="6" t="inlineStr">
        <is>
          <t>13</t>
        </is>
      </c>
      <c r="B14" s="6" t="inlineStr">
        <is>
          <t>이퀄 스틱 오메가3</t>
        </is>
      </c>
      <c r="C14" s="6" t="inlineStr">
        <is>
          <t>펫·스틱</t>
        </is>
      </c>
      <c r="D14" s="7" t="n">
        <v>560</v>
      </c>
      <c r="E14" s="7" t="n"/>
      <c r="F14" s="7" t="inlineStr">
        <is>
          <t>일부</t>
        </is>
      </c>
      <c r="G14" s="7" t="inlineStr">
        <is>
          <t>rTG</t>
        </is>
      </c>
      <c r="H14" s="7" t="inlineStr">
        <is>
          <t>미상</t>
        </is>
      </c>
      <c r="I14" s="7" t="inlineStr">
        <is>
          <t>있음</t>
        </is>
      </c>
      <c r="J14" s="7" t="inlineStr">
        <is>
          <t>우수</t>
        </is>
      </c>
      <c r="K14" s="7" t="inlineStr">
        <is>
          <t>스틱</t>
        </is>
      </c>
      <c r="L14" s="7" t="inlineStr">
        <is>
          <t>미상</t>
        </is>
      </c>
      <c r="M14" s="7" t="inlineStr">
        <is>
          <t>미상</t>
        </is>
      </c>
      <c r="N14" s="7" t="inlineStr">
        <is>
          <t>미상</t>
        </is>
      </c>
      <c r="O14" s="7">
        <f>IF(H14="식물성","Y","N")</f>
        <v/>
      </c>
      <c r="P14" s="7" t="inlineStr">
        <is>
          <t>N</t>
        </is>
      </c>
      <c r="Q14" s="7">
        <f>IF(AND(J14="취약",I14&lt;&gt;"있음",OR(M14="없음",M14="미상")),"Y","N")</f>
        <v/>
      </c>
      <c r="R14" s="7" t="inlineStr">
        <is>
          <t>N</t>
        </is>
      </c>
      <c r="S14" s="8">
        <f>IF(NOT(ISNUMBER(D14)),0,IF(D14&gt;=300,20,IF(D14&gt;=200,15,IF(D14&gt;=100,10,5))))+IF(NOT(ISNUMBER(E14)),0,IF(E14&gt;=60,10,IF(E14&gt;=40,6,3)))+IFERROR(VLOOKUP(F14,기준!$B$4:$C$7,2,FALSE),0)</f>
        <v/>
      </c>
      <c r="T14" s="8">
        <f>IFERROR(VLOOKUP(I14,기준!$B$24:$C$26,2,FALSE),0)+IFERROR(VLOOKUP(J14,기준!$B$29:$C$32,2,FALSE),0)+IFERROR(VLOOKUP(K14,기준!$B$35:$C$41,2,FALSE),0)</f>
        <v/>
      </c>
      <c r="U14" s="8">
        <f>IFERROR(VLOOKUP(G14,기준!$B$10:$C$13,2,FALSE),0)+IFERROR(VLOOKUP(H14,기준!$B$16:$C$21,2,FALSE),0)</f>
        <v/>
      </c>
      <c r="V14" s="8">
        <f>IFERROR(VLOOKUP(L14,기준!$B$44:$C$46,2,FALSE),0)+IFERROR(VLOOKUP(M14,기준!$B$49:$C$52,2,FALSE),0)+IFERROR(VLOOKUP(N14,기준!$B$55:$C$58,2,FALSE),0)</f>
        <v/>
      </c>
      <c r="W14" s="8">
        <f>SUM(S14:V14)</f>
        <v/>
      </c>
      <c r="X14" s="8">
        <f>MIN(IF(O14="Y",20,100),IF(P14="Y",40,100),IF(Q14="Y",50,100),IF(R14="Y",40,100))</f>
        <v/>
      </c>
      <c r="Y14" s="8">
        <f>MIN(W14,X14)</f>
        <v/>
      </c>
      <c r="Z14" s="8">
        <f>RANK(Y14,$Y$2:$Y$34,0)</f>
        <v/>
      </c>
      <c r="AA14" s="7" t="inlineStr">
        <is>
          <t>라벨만</t>
        </is>
      </c>
      <c r="AB14" s="7" t="inlineStr">
        <is>
          <t>미정</t>
        </is>
      </c>
      <c r="AC14" s="6">
        <f>(IF(ISNUMBER(D14),1,0)+IF(ISNUMBER(E14),1,0)+IF(AND(F14&lt;&gt;"미상",F14&lt;&gt;""),1,0)+IF(AND(G14&lt;&gt;"미상",G14&lt;&gt;""),1,0)+IF(AND(H14&lt;&gt;"미상",H14&lt;&gt;""),1,0)+IF(AND(I14&lt;&gt;"미상",I14&lt;&gt;""),1,0)+IF(AND(J14&lt;&gt;"미상",J14&lt;&gt;""),1,0)+IF(AND(K14&lt;&gt;"미상",K14&lt;&gt;""),1,0)+IF(AND(L14&lt;&gt;"미상",L14&lt;&gt;""),1,0)+IF(AND(M14&lt;&gt;"미상",M14&lt;&gt;""),1,0)+IF(AND(N14&lt;&gt;"미상",N14&lt;&gt;""),1,0))&amp;"/11"</f>
        <v/>
      </c>
      <c r="AD14" s="6" t="inlineStr">
        <is>
          <t>EPA+DHA 560mg/스틱(라벨 명시·고함량)·rTG·정제어유(어종 미표기)·천연토코페롤(항산화)·멸균 레토르트 개별스틱 공기차단포장·원료 정제수/타피오카전분/치커리/정제어유/가쓰오엑기스 (equalpet.store/product/50 자동수집+비전확인 20260620)</t>
        </is>
      </c>
    </row>
    <row r="15">
      <c r="A15" s="6" t="inlineStr">
        <is>
          <t>14</t>
        </is>
      </c>
      <c r="B15" s="6" t="inlineStr">
        <is>
          <t>펫생각 오메가3플러스</t>
        </is>
      </c>
      <c r="C15" s="6" t="inlineStr">
        <is>
          <t>펫·병원채널</t>
        </is>
      </c>
      <c r="D15" s="7" t="n"/>
      <c r="E15" s="7" t="n"/>
      <c r="F15" s="7" t="inlineStr">
        <is>
          <t>미상</t>
        </is>
      </c>
      <c r="G15" s="7" t="inlineStr">
        <is>
          <t>미상</t>
        </is>
      </c>
      <c r="H15" s="7" t="inlineStr">
        <is>
          <t>미상</t>
        </is>
      </c>
      <c r="I15" s="7" t="inlineStr">
        <is>
          <t>미상</t>
        </is>
      </c>
      <c r="J15" s="7" t="inlineStr">
        <is>
          <t>미상</t>
        </is>
      </c>
      <c r="K15" s="7" t="inlineStr">
        <is>
          <t>미상</t>
        </is>
      </c>
      <c r="L15" s="7" t="inlineStr">
        <is>
          <t>미상</t>
        </is>
      </c>
      <c r="M15" s="7" t="inlineStr">
        <is>
          <t>미상</t>
        </is>
      </c>
      <c r="N15" s="7" t="inlineStr">
        <is>
          <t>미상</t>
        </is>
      </c>
      <c r="O15" s="7">
        <f>IF(H15="식물성","Y","N")</f>
        <v/>
      </c>
      <c r="P15" s="7" t="inlineStr">
        <is>
          <t>N</t>
        </is>
      </c>
      <c r="Q15" s="7">
        <f>IF(AND(J15="취약",I15&lt;&gt;"있음",OR(M15="없음",M15="미상")),"Y","N")</f>
        <v/>
      </c>
      <c r="R15" s="7" t="inlineStr">
        <is>
          <t>N</t>
        </is>
      </c>
      <c r="S15" s="8">
        <f>IF(NOT(ISNUMBER(D15)),0,IF(D15&gt;=300,20,IF(D15&gt;=200,15,IF(D15&gt;=100,10,5))))+IF(NOT(ISNUMBER(E15)),0,IF(E15&gt;=60,10,IF(E15&gt;=40,6,3)))+IFERROR(VLOOKUP(F15,기준!$B$4:$C$7,2,FALSE),0)</f>
        <v/>
      </c>
      <c r="T15" s="8">
        <f>IFERROR(VLOOKUP(I15,기준!$B$24:$C$26,2,FALSE),0)+IFERROR(VLOOKUP(J15,기준!$B$29:$C$32,2,FALSE),0)+IFERROR(VLOOKUP(K15,기준!$B$35:$C$41,2,FALSE),0)</f>
        <v/>
      </c>
      <c r="U15" s="8">
        <f>IFERROR(VLOOKUP(G15,기준!$B$10:$C$13,2,FALSE),0)+IFERROR(VLOOKUP(H15,기준!$B$16:$C$21,2,FALSE),0)</f>
        <v/>
      </c>
      <c r="V15" s="8">
        <f>IFERROR(VLOOKUP(L15,기준!$B$44:$C$46,2,FALSE),0)+IFERROR(VLOOKUP(M15,기준!$B$49:$C$52,2,FALSE),0)+IFERROR(VLOOKUP(N15,기준!$B$55:$C$58,2,FALSE),0)</f>
        <v/>
      </c>
      <c r="W15" s="8">
        <f>SUM(S15:V15)</f>
        <v/>
      </c>
      <c r="X15" s="8">
        <f>MIN(IF(O15="Y",20,100),IF(P15="Y",40,100),IF(Q15="Y",50,100),IF(R15="Y",40,100))</f>
        <v/>
      </c>
      <c r="Y15" s="8">
        <f>MIN(W15,X15)</f>
        <v/>
      </c>
      <c r="Z15" s="8">
        <f>RANK(Y15,$Y$2:$Y$34,0)</f>
        <v/>
      </c>
      <c r="AA15" s="7" t="inlineStr">
        <is>
          <t>라벨만</t>
        </is>
      </c>
      <c r="AB15" s="7" t="inlineStr">
        <is>
          <t>미정</t>
        </is>
      </c>
      <c r="AC15" s="6">
        <f>(IF(ISNUMBER(D15),1,0)+IF(ISNUMBER(E15),1,0)+IF(AND(F15&lt;&gt;"미상",F15&lt;&gt;""),1,0)+IF(AND(G15&lt;&gt;"미상",G15&lt;&gt;""),1,0)+IF(AND(H15&lt;&gt;"미상",H15&lt;&gt;""),1,0)+IF(AND(I15&lt;&gt;"미상",I15&lt;&gt;""),1,0)+IF(AND(J15&lt;&gt;"미상",J15&lt;&gt;""),1,0)+IF(AND(K15&lt;&gt;"미상",K15&lt;&gt;""),1,0)+IF(AND(L15&lt;&gt;"미상",L15&lt;&gt;""),1,0)+IF(AND(M15&lt;&gt;"미상",M15&lt;&gt;""),1,0)+IF(AND(N15&lt;&gt;"미상",N15&lt;&gt;""),1,0))&amp;"/11"</f>
        <v/>
      </c>
      <c r="AD15" s="6" t="inlineStr">
        <is>
          <t>동물병원협회 추천 (비타트라)</t>
        </is>
      </c>
    </row>
    <row r="16">
      <c r="A16" s="6" t="inlineStr">
        <is>
          <t>15</t>
        </is>
      </c>
      <c r="B16" s="6" t="inlineStr">
        <is>
          <t>펫생각 데일리케얼 오메가3 미니</t>
        </is>
      </c>
      <c r="C16" s="6" t="inlineStr">
        <is>
          <t>펫</t>
        </is>
      </c>
      <c r="D16" s="7" t="n">
        <v>128</v>
      </c>
      <c r="E16" s="7" t="n">
        <v>80</v>
      </c>
      <c r="F16" s="7" t="inlineStr">
        <is>
          <t>일부</t>
        </is>
      </c>
      <c r="G16" s="7" t="inlineStr">
        <is>
          <t>rTG</t>
        </is>
      </c>
      <c r="H16" s="7" t="inlineStr">
        <is>
          <t>소형어</t>
        </is>
      </c>
      <c r="I16" s="7" t="inlineStr">
        <is>
          <t>있음</t>
        </is>
      </c>
      <c r="J16" s="7" t="inlineStr">
        <is>
          <t>우수</t>
        </is>
      </c>
      <c r="K16" s="7" t="inlineStr">
        <is>
          <t>캡슐</t>
        </is>
      </c>
      <c r="L16" s="7" t="inlineStr">
        <is>
          <t>있음</t>
        </is>
      </c>
      <c r="M16" s="7" t="inlineStr">
        <is>
          <t>공개</t>
        </is>
      </c>
      <c r="N16" s="7" t="inlineStr">
        <is>
          <t>명시</t>
        </is>
      </c>
      <c r="O16" s="7">
        <f>IF(H16="식물성","Y","N")</f>
        <v/>
      </c>
      <c r="P16" s="7" t="inlineStr">
        <is>
          <t>N</t>
        </is>
      </c>
      <c r="Q16" s="7">
        <f>IF(AND(J16="취약",I16&lt;&gt;"있음",OR(M16="없음",M16="미상")),"Y","N")</f>
        <v/>
      </c>
      <c r="R16" s="7" t="inlineStr">
        <is>
          <t>N</t>
        </is>
      </c>
      <c r="S16" s="8">
        <f>IF(NOT(ISNUMBER(D16)),0,IF(D16&gt;=300,20,IF(D16&gt;=200,15,IF(D16&gt;=100,10,5))))+IF(NOT(ISNUMBER(E16)),0,IF(E16&gt;=60,10,IF(E16&gt;=40,6,3)))+IFERROR(VLOOKUP(F16,기준!$B$4:$C$7,2,FALSE),0)</f>
        <v/>
      </c>
      <c r="T16" s="8">
        <f>IFERROR(VLOOKUP(I16,기준!$B$24:$C$26,2,FALSE),0)+IFERROR(VLOOKUP(J16,기준!$B$29:$C$32,2,FALSE),0)+IFERROR(VLOOKUP(K16,기준!$B$35:$C$41,2,FALSE),0)</f>
        <v/>
      </c>
      <c r="U16" s="8">
        <f>IFERROR(VLOOKUP(G16,기준!$B$10:$C$13,2,FALSE),0)+IFERROR(VLOOKUP(H16,기준!$B$16:$C$21,2,FALSE),0)</f>
        <v/>
      </c>
      <c r="V16" s="8">
        <f>IFERROR(VLOOKUP(L16,기준!$B$44:$C$46,2,FALSE),0)+IFERROR(VLOOKUP(M16,기준!$B$49:$C$52,2,FALSE),0)+IFERROR(VLOOKUP(N16,기준!$B$55:$C$58,2,FALSE),0)</f>
        <v/>
      </c>
      <c r="W16" s="8">
        <f>SUM(S16:V16)</f>
        <v/>
      </c>
      <c r="X16" s="8">
        <f>MIN(IF(O16="Y",20,100),IF(P16="Y",40,100),IF(Q16="Y",50,100),IF(R16="Y",40,100))</f>
        <v/>
      </c>
      <c r="Y16" s="8">
        <f>MIN(W16,X16)</f>
        <v/>
      </c>
      <c r="Z16" s="8">
        <f>RANK(Y16,$Y$2:$Y$34,0)</f>
        <v/>
      </c>
      <c r="AA16" s="7" t="inlineStr">
        <is>
          <t>공개·검증</t>
        </is>
      </c>
      <c r="AB16" s="7" t="inlineStr">
        <is>
          <t>일반유지</t>
        </is>
      </c>
      <c r="AC16" s="6">
        <f>(IF(ISNUMBER(D16),1,0)+IF(ISNUMBER(E16),1,0)+IF(AND(F16&lt;&gt;"미상",F16&lt;&gt;""),1,0)+IF(AND(G16&lt;&gt;"미상",G16&lt;&gt;""),1,0)+IF(AND(H16&lt;&gt;"미상",H16&lt;&gt;""),1,0)+IF(AND(I16&lt;&gt;"미상",I16&lt;&gt;""),1,0)+IF(AND(J16&lt;&gt;"미상",J16&lt;&gt;""),1,0)+IF(AND(K16&lt;&gt;"미상",K16&lt;&gt;""),1,0)+IF(AND(L16&lt;&gt;"미상",L16&lt;&gt;""),1,0)+IF(AND(M16&lt;&gt;"미상",M16&lt;&gt;""),1,0)+IF(AND(N16&lt;&gt;"미상",N16&lt;&gt;""),1,0))&amp;"/11"</f>
        <v/>
      </c>
      <c r="AD16" s="6" t="inlineStr">
        <is>
          <t>데일리케얼 슈퍼리얼 알티지(180캡슐 SKU 기준)·1캡슐 EPA+DHA 128mg·순도80%이상·Real rTG·정제어유 소형어·d-토코페롤(비타민E)·PTP개별포장 산패4중방어·KD파마(독일) 원료+완제품 IFOS5★·TOTOX/중금속 검사공개·연질캡슐 (fitpetmall goods/1000033651 자동수집+OCR 20260620)</t>
        </is>
      </c>
    </row>
    <row r="17">
      <c r="A17" s="6" t="inlineStr">
        <is>
          <t>16</t>
        </is>
      </c>
      <c r="B17" s="6" t="inlineStr">
        <is>
          <t>아이슬란딕 헤링 오메가3</t>
        </is>
      </c>
      <c r="C17" s="6" t="inlineStr">
        <is>
          <t>펫·액상</t>
        </is>
      </c>
      <c r="D17" s="7" t="n">
        <v>147</v>
      </c>
      <c r="E17" s="7" t="n">
        <v>15</v>
      </c>
      <c r="F17" s="7" t="inlineStr">
        <is>
          <t>명시</t>
        </is>
      </c>
      <c r="G17" s="7" t="inlineStr">
        <is>
          <t>TG</t>
        </is>
      </c>
      <c r="H17" s="7" t="inlineStr">
        <is>
          <t>소형어</t>
        </is>
      </c>
      <c r="I17" s="7" t="inlineStr">
        <is>
          <t>미상</t>
        </is>
      </c>
      <c r="J17" s="7" t="inlineStr">
        <is>
          <t>보통</t>
        </is>
      </c>
      <c r="K17" s="7" t="inlineStr">
        <is>
          <t>펌프액상</t>
        </is>
      </c>
      <c r="L17" s="7" t="inlineStr">
        <is>
          <t>미상</t>
        </is>
      </c>
      <c r="M17" s="7" t="inlineStr">
        <is>
          <t>공개</t>
        </is>
      </c>
      <c r="N17" s="7" t="inlineStr">
        <is>
          <t>명시</t>
        </is>
      </c>
      <c r="O17" s="7">
        <f>IF(H17="식물성","Y","N")</f>
        <v/>
      </c>
      <c r="P17" s="7" t="inlineStr">
        <is>
          <t>N</t>
        </is>
      </c>
      <c r="Q17" s="7">
        <f>IF(AND(J17="취약",I17&lt;&gt;"있음",OR(M17="없음",M17="미상")),"Y","N")</f>
        <v/>
      </c>
      <c r="R17" s="7" t="inlineStr">
        <is>
          <t>N</t>
        </is>
      </c>
      <c r="S17" s="8">
        <f>IF(NOT(ISNUMBER(D17)),0,IF(D17&gt;=300,20,IF(D17&gt;=200,15,IF(D17&gt;=100,10,5))))+IF(NOT(ISNUMBER(E17)),0,IF(E17&gt;=60,10,IF(E17&gt;=40,6,3)))+IFERROR(VLOOKUP(F17,기준!$B$4:$C$7,2,FALSE),0)</f>
        <v/>
      </c>
      <c r="T17" s="8">
        <f>IFERROR(VLOOKUP(I17,기준!$B$24:$C$26,2,FALSE),0)+IFERROR(VLOOKUP(J17,기준!$B$29:$C$32,2,FALSE),0)+IFERROR(VLOOKUP(K17,기준!$B$35:$C$41,2,FALSE),0)</f>
        <v/>
      </c>
      <c r="U17" s="8">
        <f>IFERROR(VLOOKUP(G17,기준!$B$10:$C$13,2,FALSE),0)+IFERROR(VLOOKUP(H17,기준!$B$16:$C$21,2,FALSE),0)</f>
        <v/>
      </c>
      <c r="V17" s="8">
        <f>IFERROR(VLOOKUP(L17,기준!$B$44:$C$46,2,FALSE),0)+IFERROR(VLOOKUP(M17,기준!$B$49:$C$52,2,FALSE),0)+IFERROR(VLOOKUP(N17,기준!$B$55:$C$58,2,FALSE),0)</f>
        <v/>
      </c>
      <c r="W17" s="8">
        <f>SUM(S17:V17)</f>
        <v/>
      </c>
      <c r="X17" s="8">
        <f>MIN(IF(O17="Y",20,100),IF(P17="Y",40,100),IF(Q17="Y",50,100),IF(R17="Y",40,100))</f>
        <v/>
      </c>
      <c r="Y17" s="8">
        <f>MIN(W17,X17)</f>
        <v/>
      </c>
      <c r="Z17" s="8">
        <f>RANK(Y17,$Y$2:$Y$34,0)</f>
        <v/>
      </c>
      <c r="AA17" s="7" t="inlineStr">
        <is>
          <t>공개·검증</t>
        </is>
      </c>
      <c r="AB17" s="7" t="inlineStr">
        <is>
          <t>일반유지</t>
        </is>
      </c>
      <c r="AC17" s="6">
        <f>(IF(ISNUMBER(D17),1,0)+IF(ISNUMBER(E17),1,0)+IF(AND(F17&lt;&gt;"미상",F17&lt;&gt;""),1,0)+IF(AND(G17&lt;&gt;"미상",G17&lt;&gt;""),1,0)+IF(AND(H17&lt;&gt;"미상",H17&lt;&gt;""),1,0)+IF(AND(I17&lt;&gt;"미상",I17&lt;&gt;""),1,0)+IF(AND(J17&lt;&gt;"미상",J17&lt;&gt;""),1,0)+IF(AND(K17&lt;&gt;"미상",K17&lt;&gt;""),1,0)+IF(AND(L17&lt;&gt;"미상",L17&lt;&gt;""),1,0)+IF(AND(M17&lt;&gt;"미상",M17&lt;&gt;""),1,0)+IF(AND(N17&lt;&gt;"미상",N17&lt;&gt;""),1,0))&amp;"/11"</f>
        <v/>
      </c>
      <c r="AD17" s="6" t="inlineStr">
        <is>
          <t>카이쿠라 청어100% 아이슬란드산 자연어유(TG)·성분표 per1g Total오메가3 199mg·DHA79+EPA70=147mg·DPA10mg·VitA/D ND·순도≈15%(147/1000)·사료검정 산가0.01(COA공개)·MSC인증·1펌프≈1ml·250ml (kaikoora.com/product/13 자동수집+비전확인 20260620)</t>
        </is>
      </c>
    </row>
    <row r="18">
      <c r="A18" s="6" t="inlineStr">
        <is>
          <t>17</t>
        </is>
      </c>
      <c r="B18" s="6" t="inlineStr">
        <is>
          <t>바이오펫츠 펫메가3</t>
        </is>
      </c>
      <c r="C18" s="6" t="inlineStr">
        <is>
          <t>펫·액상</t>
        </is>
      </c>
      <c r="D18" s="7" t="n">
        <v>84</v>
      </c>
      <c r="E18" s="7" t="n"/>
      <c r="F18" s="7" t="inlineStr">
        <is>
          <t>일부</t>
        </is>
      </c>
      <c r="G18" s="7" t="inlineStr">
        <is>
          <t>TG</t>
        </is>
      </c>
      <c r="H18" s="7" t="inlineStr">
        <is>
          <t>일반어</t>
        </is>
      </c>
      <c r="I18" s="7" t="inlineStr">
        <is>
          <t>미상</t>
        </is>
      </c>
      <c r="J18" s="7" t="inlineStr">
        <is>
          <t>우수</t>
        </is>
      </c>
      <c r="K18" s="7" t="inlineStr">
        <is>
          <t>펌프액상</t>
        </is>
      </c>
      <c r="L18" s="7" t="inlineStr">
        <is>
          <t>미상</t>
        </is>
      </c>
      <c r="M18" s="7" t="inlineStr">
        <is>
          <t>일부</t>
        </is>
      </c>
      <c r="N18" s="7" t="inlineStr">
        <is>
          <t>명시</t>
        </is>
      </c>
      <c r="O18" s="7">
        <f>IF(H18="식물성","Y","N")</f>
        <v/>
      </c>
      <c r="P18" s="7" t="inlineStr">
        <is>
          <t>N</t>
        </is>
      </c>
      <c r="Q18" s="7">
        <f>IF(AND(J18="취약",I18&lt;&gt;"있음",OR(M18="없음",M18="미상")),"Y","N")</f>
        <v/>
      </c>
      <c r="R18" s="7" t="inlineStr">
        <is>
          <t>N</t>
        </is>
      </c>
      <c r="S18" s="8">
        <f>IF(NOT(ISNUMBER(D18)),0,IF(D18&gt;=300,20,IF(D18&gt;=200,15,IF(D18&gt;=100,10,5))))+IF(NOT(ISNUMBER(E18)),0,IF(E18&gt;=60,10,IF(E18&gt;=40,6,3)))+IFERROR(VLOOKUP(F18,기준!$B$4:$C$7,2,FALSE),0)</f>
        <v/>
      </c>
      <c r="T18" s="8">
        <f>IFERROR(VLOOKUP(I18,기준!$B$24:$C$26,2,FALSE),0)+IFERROR(VLOOKUP(J18,기준!$B$29:$C$32,2,FALSE),0)+IFERROR(VLOOKUP(K18,기준!$B$35:$C$41,2,FALSE),0)</f>
        <v/>
      </c>
      <c r="U18" s="8">
        <f>IFERROR(VLOOKUP(G18,기준!$B$10:$C$13,2,FALSE),0)+IFERROR(VLOOKUP(H18,기준!$B$16:$C$21,2,FALSE),0)</f>
        <v/>
      </c>
      <c r="V18" s="8">
        <f>IFERROR(VLOOKUP(L18,기준!$B$44:$C$46,2,FALSE),0)+IFERROR(VLOOKUP(M18,기준!$B$49:$C$52,2,FALSE),0)+IFERROR(VLOOKUP(N18,기준!$B$55:$C$58,2,FALSE),0)</f>
        <v/>
      </c>
      <c r="W18" s="8">
        <f>SUM(S18:V18)</f>
        <v/>
      </c>
      <c r="X18" s="8">
        <f>MIN(IF(O18="Y",20,100),IF(P18="Y",40,100),IF(Q18="Y",50,100),IF(R18="Y",40,100))</f>
        <v/>
      </c>
      <c r="Y18" s="8">
        <f>MIN(W18,X18)</f>
        <v/>
      </c>
      <c r="Z18" s="8">
        <f>RANK(Y18,$Y$2:$Y$34,0)</f>
        <v/>
      </c>
      <c r="AA18" s="7" t="inlineStr">
        <is>
          <t>라벨만</t>
        </is>
      </c>
      <c r="AB18" s="7" t="inlineStr">
        <is>
          <t>일반유지</t>
        </is>
      </c>
      <c r="AC18" s="6">
        <f>(IF(ISNUMBER(D18),1,0)+IF(ISNUMBER(E18),1,0)+IF(AND(F18&lt;&gt;"미상",F18&lt;&gt;""),1,0)+IF(AND(G18&lt;&gt;"미상",G18&lt;&gt;""),1,0)+IF(AND(H18&lt;&gt;"미상",H18&lt;&gt;""),1,0)+IF(AND(I18&lt;&gt;"미상",I18&lt;&gt;""),1,0)+IF(AND(J18&lt;&gt;"미상",J18&lt;&gt;""),1,0)+IF(AND(K18&lt;&gt;"미상",K18&lt;&gt;""),1,0)+IF(AND(L18&lt;&gt;"미상",L18&lt;&gt;""),1,0)+IF(AND(M18&lt;&gt;"미상",M18&lt;&gt;""),1,0)+IF(AND(N18&lt;&gt;"미상",N18&lt;&gt;""),1,0))&amp;"/11"</f>
        <v/>
      </c>
      <c r="AD18" s="6" t="inlineStr">
        <is>
          <t>바이오펫츠 펫메가3 150ml·1ml당 EPA+DHA 64~103mg(중간값 84)·연어오일99%(원육 노르웨이)·자연 비농축(TG)·공기차단 특허용기(특허 20-0470695)·비타민 1% 첨가·산가 2.5 공개(COA 일부)·per회분 mg 미상 (fitpetmall goods/1000037912 자동수집+OCR 20260620)</t>
        </is>
      </c>
    </row>
    <row r="19">
      <c r="A19" s="6" t="inlineStr">
        <is>
          <t>18</t>
        </is>
      </c>
      <c r="B19" s="6" t="inlineStr">
        <is>
          <t>브릴리언트 연어오일 1000ml</t>
        </is>
      </c>
      <c r="C19" s="6" t="inlineStr">
        <is>
          <t>펫·액상</t>
        </is>
      </c>
      <c r="D19" s="7" t="n">
        <v>50</v>
      </c>
      <c r="E19" s="7" t="n">
        <v>5</v>
      </c>
      <c r="F19" s="7" t="inlineStr">
        <is>
          <t>명시</t>
        </is>
      </c>
      <c r="G19" s="7" t="inlineStr">
        <is>
          <t>TG</t>
        </is>
      </c>
      <c r="H19" s="7" t="inlineStr">
        <is>
          <t>일반어</t>
        </is>
      </c>
      <c r="I19" s="7" t="inlineStr">
        <is>
          <t>있음</t>
        </is>
      </c>
      <c r="J19" s="7" t="inlineStr">
        <is>
          <t>보통</t>
        </is>
      </c>
      <c r="K19" s="7" t="inlineStr">
        <is>
          <t>대용량액상</t>
        </is>
      </c>
      <c r="L19" s="7" t="inlineStr">
        <is>
          <t>미상</t>
        </is>
      </c>
      <c r="M19" s="7" t="inlineStr">
        <is>
          <t>공개</t>
        </is>
      </c>
      <c r="N19" s="7" t="inlineStr">
        <is>
          <t>명시</t>
        </is>
      </c>
      <c r="O19" s="7">
        <f>IF(H19="식물성","Y","N")</f>
        <v/>
      </c>
      <c r="P19" s="7" t="inlineStr">
        <is>
          <t>N</t>
        </is>
      </c>
      <c r="Q19" s="7">
        <f>IF(AND(J19="취약",I19&lt;&gt;"있음",OR(M19="없음",M19="미상")),"Y","N")</f>
        <v/>
      </c>
      <c r="R19" s="7" t="inlineStr">
        <is>
          <t>N</t>
        </is>
      </c>
      <c r="S19" s="8">
        <f>IF(NOT(ISNUMBER(D19)),0,IF(D19&gt;=300,20,IF(D19&gt;=200,15,IF(D19&gt;=100,10,5))))+IF(NOT(ISNUMBER(E19)),0,IF(E19&gt;=60,10,IF(E19&gt;=40,6,3)))+IFERROR(VLOOKUP(F19,기준!$B$4:$C$7,2,FALSE),0)</f>
        <v/>
      </c>
      <c r="T19" s="8">
        <f>IFERROR(VLOOKUP(I19,기준!$B$24:$C$26,2,FALSE),0)+IFERROR(VLOOKUP(J19,기준!$B$29:$C$32,2,FALSE),0)+IFERROR(VLOOKUP(K19,기준!$B$35:$C$41,2,FALSE),0)</f>
        <v/>
      </c>
      <c r="U19" s="8">
        <f>IFERROR(VLOOKUP(G19,기준!$B$10:$C$13,2,FALSE),0)+IFERROR(VLOOKUP(H19,기준!$B$16:$C$21,2,FALSE),0)</f>
        <v/>
      </c>
      <c r="V19" s="8">
        <f>IFERROR(VLOOKUP(L19,기준!$B$44:$C$46,2,FALSE),0)+IFERROR(VLOOKUP(M19,기준!$B$49:$C$52,2,FALSE),0)+IFERROR(VLOOKUP(N19,기준!$B$55:$C$58,2,FALSE),0)</f>
        <v/>
      </c>
      <c r="W19" s="8">
        <f>SUM(S19:V19)</f>
        <v/>
      </c>
      <c r="X19" s="8">
        <f>MIN(IF(O19="Y",20,100),IF(P19="Y",40,100),IF(Q19="Y",50,100),IF(R19="Y",40,100))</f>
        <v/>
      </c>
      <c r="Y19" s="8">
        <f>MIN(W19,X19)</f>
        <v/>
      </c>
      <c r="Z19" s="8">
        <f>RANK(Y19,$Y$2:$Y$34,0)</f>
        <v/>
      </c>
      <c r="AA19" s="7" t="inlineStr">
        <is>
          <t>공개·검증</t>
        </is>
      </c>
      <c r="AB19" s="7" t="inlineStr">
        <is>
          <t>일반유지</t>
        </is>
      </c>
      <c r="AC19" s="6">
        <f>(IF(ISNUMBER(D19),1,0)+IF(ISNUMBER(E19),1,0)+IF(AND(F19&lt;&gt;"미상",F19&lt;&gt;""),1,0)+IF(AND(G19&lt;&gt;"미상",G19&lt;&gt;""),1,0)+IF(AND(H19&lt;&gt;"미상",H19&lt;&gt;""),1,0)+IF(AND(I19&lt;&gt;"미상",I19&lt;&gt;""),1,0)+IF(AND(J19&lt;&gt;"미상",J19&lt;&gt;""),1,0)+IF(AND(K19&lt;&gt;"미상",K19&lt;&gt;""),1,0)+IF(AND(L19&lt;&gt;"미상",L19&lt;&gt;""),1,0)+IF(AND(M19&lt;&gt;"미상",M19&lt;&gt;""),1,0)+IF(AND(N19&lt;&gt;"미상",N19&lt;&gt;""),1,0))&amp;"/11"</f>
        <v/>
      </c>
      <c r="AD19" s="6" t="inlineStr">
        <is>
          <t>브릴리언트 연어오일 CoA(페오펫 300ml 동일오일)·EPA≥20+DHA≥30=≥50mg/g·DPA≥10·Total오메가3≥140mg/g·Fat≥99%(순도≈5%)·노르웨이 연어 자연유(TG)·Astaxanthin&gt;6µg/g(천연항산화)·Peroxide≤12/Anisidine≤8/중금속&lt;0.1/PCB·다이옥신 분기검사(COA공개)·차단펌프(공기차단)·Friend of the Sea (shop.peopet.co.kr/goods/36686 비전확인 20260620)</t>
        </is>
      </c>
    </row>
    <row r="20">
      <c r="A20" s="6" t="inlineStr">
        <is>
          <t>19</t>
        </is>
      </c>
      <c r="B20" s="6" t="inlineStr">
        <is>
          <t>살모펫 노르웨이 연어오일</t>
        </is>
      </c>
      <c r="C20" s="6" t="inlineStr">
        <is>
          <t>펫·액상</t>
        </is>
      </c>
      <c r="D20" s="7" t="n"/>
      <c r="E20" s="7" t="n"/>
      <c r="F20" s="7" t="inlineStr">
        <is>
          <t>미상</t>
        </is>
      </c>
      <c r="G20" s="7" t="inlineStr">
        <is>
          <t>TG</t>
        </is>
      </c>
      <c r="H20" s="7" t="inlineStr">
        <is>
          <t>일반어</t>
        </is>
      </c>
      <c r="I20" s="7" t="inlineStr">
        <is>
          <t>미상</t>
        </is>
      </c>
      <c r="J20" s="7" t="inlineStr">
        <is>
          <t>미상</t>
        </is>
      </c>
      <c r="K20" s="7" t="inlineStr">
        <is>
          <t>펌프액상</t>
        </is>
      </c>
      <c r="L20" s="7" t="inlineStr">
        <is>
          <t>미상</t>
        </is>
      </c>
      <c r="M20" s="7" t="inlineStr">
        <is>
          <t>미상</t>
        </is>
      </c>
      <c r="N20" s="7" t="inlineStr">
        <is>
          <t>명시</t>
        </is>
      </c>
      <c r="O20" s="7">
        <f>IF(H20="식물성","Y","N")</f>
        <v/>
      </c>
      <c r="P20" s="7" t="inlineStr">
        <is>
          <t>N</t>
        </is>
      </c>
      <c r="Q20" s="7">
        <f>IF(AND(J20="취약",I20&lt;&gt;"있음",OR(M20="없음",M20="미상")),"Y","N")</f>
        <v/>
      </c>
      <c r="R20" s="7" t="inlineStr">
        <is>
          <t>N</t>
        </is>
      </c>
      <c r="S20" s="8">
        <f>IF(NOT(ISNUMBER(D20)),0,IF(D20&gt;=300,20,IF(D20&gt;=200,15,IF(D20&gt;=100,10,5))))+IF(NOT(ISNUMBER(E20)),0,IF(E20&gt;=60,10,IF(E20&gt;=40,6,3)))+IFERROR(VLOOKUP(F20,기준!$B$4:$C$7,2,FALSE),0)</f>
        <v/>
      </c>
      <c r="T20" s="8">
        <f>IFERROR(VLOOKUP(I20,기준!$B$24:$C$26,2,FALSE),0)+IFERROR(VLOOKUP(J20,기준!$B$29:$C$32,2,FALSE),0)+IFERROR(VLOOKUP(K20,기준!$B$35:$C$41,2,FALSE),0)</f>
        <v/>
      </c>
      <c r="U20" s="8">
        <f>IFERROR(VLOOKUP(G20,기준!$B$10:$C$13,2,FALSE),0)+IFERROR(VLOOKUP(H20,기준!$B$16:$C$21,2,FALSE),0)</f>
        <v/>
      </c>
      <c r="V20" s="8">
        <f>IFERROR(VLOOKUP(L20,기준!$B$44:$C$46,2,FALSE),0)+IFERROR(VLOOKUP(M20,기준!$B$49:$C$52,2,FALSE),0)+IFERROR(VLOOKUP(N20,기준!$B$55:$C$58,2,FALSE),0)</f>
        <v/>
      </c>
      <c r="W20" s="8">
        <f>SUM(S20:V20)</f>
        <v/>
      </c>
      <c r="X20" s="8">
        <f>MIN(IF(O20="Y",20,100),IF(P20="Y",40,100),IF(Q20="Y",50,100),IF(R20="Y",40,100))</f>
        <v/>
      </c>
      <c r="Y20" s="8">
        <f>MIN(W20,X20)</f>
        <v/>
      </c>
      <c r="Z20" s="8">
        <f>RANK(Y20,$Y$2:$Y$34,0)</f>
        <v/>
      </c>
      <c r="AA20" s="7" t="inlineStr">
        <is>
          <t>라벨만</t>
        </is>
      </c>
      <c r="AB20" s="7" t="inlineStr">
        <is>
          <t>미정</t>
        </is>
      </c>
      <c r="AC20" s="6">
        <f>(IF(ISNUMBER(D20),1,0)+IF(ISNUMBER(E20),1,0)+IF(AND(F20&lt;&gt;"미상",F20&lt;&gt;""),1,0)+IF(AND(G20&lt;&gt;"미상",G20&lt;&gt;""),1,0)+IF(AND(H20&lt;&gt;"미상",H20&lt;&gt;""),1,0)+IF(AND(I20&lt;&gt;"미상",I20&lt;&gt;""),1,0)+IF(AND(J20&lt;&gt;"미상",J20&lt;&gt;""),1,0)+IF(AND(K20&lt;&gt;"미상",K20&lt;&gt;""),1,0)+IF(AND(L20&lt;&gt;"미상",L20&lt;&gt;""),1,0)+IF(AND(M20&lt;&gt;"미상",M20&lt;&gt;""),1,0)+IF(AND(N20&lt;&gt;"미상",N20&lt;&gt;""),1,0))&amp;"/11"</f>
        <v/>
      </c>
      <c r="AD20" s="6" t="inlineStr">
        <is>
          <t>Salmo Pet 노르웨이산 연어오일(NORGE 원산지 명시)·자연어유(TG)·연어 단일·5kg미만 1펌프~·DHA·EPA 함유 표기만·per펌프 EPA+DHA mg 미공개 (fitpetmall goods/1000024792 자동수집+비전 20260620)</t>
        </is>
      </c>
    </row>
    <row r="21">
      <c r="A21" s="6" t="inlineStr">
        <is>
          <t>20</t>
        </is>
      </c>
      <c r="B21" s="6" t="inlineStr">
        <is>
          <t>뉴트리벳 오메가3</t>
        </is>
      </c>
      <c r="C21" s="6" t="inlineStr">
        <is>
          <t>펫·액상</t>
        </is>
      </c>
      <c r="D21" s="7" t="n"/>
      <c r="E21" s="7" t="n"/>
      <c r="F21" s="7" t="inlineStr">
        <is>
          <t>미상</t>
        </is>
      </c>
      <c r="G21" s="7" t="inlineStr">
        <is>
          <t>미상</t>
        </is>
      </c>
      <c r="H21" s="7" t="inlineStr">
        <is>
          <t>일반어</t>
        </is>
      </c>
      <c r="I21" s="7" t="inlineStr">
        <is>
          <t>미상</t>
        </is>
      </c>
      <c r="J21" s="7" t="inlineStr">
        <is>
          <t>미상</t>
        </is>
      </c>
      <c r="K21" s="7" t="inlineStr">
        <is>
          <t>펌프액상</t>
        </is>
      </c>
      <c r="L21" s="7" t="inlineStr">
        <is>
          <t>미상</t>
        </is>
      </c>
      <c r="M21" s="7" t="inlineStr">
        <is>
          <t>미상</t>
        </is>
      </c>
      <c r="N21" s="7" t="inlineStr">
        <is>
          <t>미상</t>
        </is>
      </c>
      <c r="O21" s="7">
        <f>IF(H21="식물성","Y","N")</f>
        <v/>
      </c>
      <c r="P21" s="7" t="inlineStr">
        <is>
          <t>N</t>
        </is>
      </c>
      <c r="Q21" s="7">
        <f>IF(AND(J21="취약",I21&lt;&gt;"있음",OR(M21="없음",M21="미상")),"Y","N")</f>
        <v/>
      </c>
      <c r="R21" s="7" t="inlineStr">
        <is>
          <t>N</t>
        </is>
      </c>
      <c r="S21" s="8">
        <f>IF(NOT(ISNUMBER(D21)),0,IF(D21&gt;=300,20,IF(D21&gt;=200,15,IF(D21&gt;=100,10,5))))+IF(NOT(ISNUMBER(E21)),0,IF(E21&gt;=60,10,IF(E21&gt;=40,6,3)))+IFERROR(VLOOKUP(F21,기준!$B$4:$C$7,2,FALSE),0)</f>
        <v/>
      </c>
      <c r="T21" s="8">
        <f>IFERROR(VLOOKUP(I21,기준!$B$24:$C$26,2,FALSE),0)+IFERROR(VLOOKUP(J21,기준!$B$29:$C$32,2,FALSE),0)+IFERROR(VLOOKUP(K21,기준!$B$35:$C$41,2,FALSE),0)</f>
        <v/>
      </c>
      <c r="U21" s="8">
        <f>IFERROR(VLOOKUP(G21,기준!$B$10:$C$13,2,FALSE),0)+IFERROR(VLOOKUP(H21,기준!$B$16:$C$21,2,FALSE),0)</f>
        <v/>
      </c>
      <c r="V21" s="8">
        <f>IFERROR(VLOOKUP(L21,기준!$B$44:$C$46,2,FALSE),0)+IFERROR(VLOOKUP(M21,기준!$B$49:$C$52,2,FALSE),0)+IFERROR(VLOOKUP(N21,기준!$B$55:$C$58,2,FALSE),0)</f>
        <v/>
      </c>
      <c r="W21" s="8">
        <f>SUM(S21:V21)</f>
        <v/>
      </c>
      <c r="X21" s="8">
        <f>MIN(IF(O21="Y",20,100),IF(P21="Y",40,100),IF(Q21="Y",50,100),IF(R21="Y",40,100))</f>
        <v/>
      </c>
      <c r="Y21" s="8">
        <f>MIN(W21,X21)</f>
        <v/>
      </c>
      <c r="Z21" s="8">
        <f>RANK(Y21,$Y$2:$Y$34,0)</f>
        <v/>
      </c>
      <c r="AA21" s="7" t="inlineStr">
        <is>
          <t>라벨만</t>
        </is>
      </c>
      <c r="AB21" s="7" t="inlineStr">
        <is>
          <t>미정</t>
        </is>
      </c>
      <c r="AC21" s="6">
        <f>(IF(ISNUMBER(D21),1,0)+IF(ISNUMBER(E21),1,0)+IF(AND(F21&lt;&gt;"미상",F21&lt;&gt;""),1,0)+IF(AND(G21&lt;&gt;"미상",G21&lt;&gt;""),1,0)+IF(AND(H21&lt;&gt;"미상",H21&lt;&gt;""),1,0)+IF(AND(I21&lt;&gt;"미상",I21&lt;&gt;""),1,0)+IF(AND(J21&lt;&gt;"미상",J21&lt;&gt;""),1,0)+IF(AND(K21&lt;&gt;"미상",K21&lt;&gt;""),1,0)+IF(AND(L21&lt;&gt;"미상",L21&lt;&gt;""),1,0)+IF(AND(M21&lt;&gt;"미상",M21&lt;&gt;""),1,0)+IF(AND(N21&lt;&gt;"미상",N21&lt;&gt;""),1,0))&amp;"/11"</f>
        <v/>
      </c>
      <c r="AD21" s="6" t="inlineStr">
        <is>
          <t>연어+폴락(대구과 어체유, 간유 아님)→비타민A/D 상한 부적용·국내 판매처 없음(2026-06 확인)·단종 추정으로 추가 수집 불가 (구 핏펫)</t>
        </is>
      </c>
    </row>
    <row r="22">
      <c r="A22" s="6" t="inlineStr">
        <is>
          <t>21</t>
        </is>
      </c>
      <c r="B22" s="6" t="inlineStr">
        <is>
          <t>오메가3 플러스펫 프리미엄</t>
        </is>
      </c>
      <c r="C22" s="6" t="inlineStr">
        <is>
          <t>펫·액상</t>
        </is>
      </c>
      <c r="D22" s="7" t="n"/>
      <c r="E22" s="7" t="n"/>
      <c r="F22" s="7" t="inlineStr">
        <is>
          <t>미상</t>
        </is>
      </c>
      <c r="G22" s="7" t="inlineStr">
        <is>
          <t>TG</t>
        </is>
      </c>
      <c r="H22" s="7" t="inlineStr">
        <is>
          <t>해양포유류</t>
        </is>
      </c>
      <c r="I22" s="7" t="inlineStr">
        <is>
          <t>미상</t>
        </is>
      </c>
      <c r="J22" s="7" t="inlineStr">
        <is>
          <t>미상</t>
        </is>
      </c>
      <c r="K22" s="7" t="inlineStr">
        <is>
          <t>펌프액상</t>
        </is>
      </c>
      <c r="L22" s="7" t="inlineStr">
        <is>
          <t>미상</t>
        </is>
      </c>
      <c r="M22" s="7" t="inlineStr">
        <is>
          <t>미상</t>
        </is>
      </c>
      <c r="N22" s="7" t="inlineStr">
        <is>
          <t>명시</t>
        </is>
      </c>
      <c r="O22" s="7">
        <f>IF(H22="식물성","Y","N")</f>
        <v/>
      </c>
      <c r="P22" s="7" t="inlineStr">
        <is>
          <t>N</t>
        </is>
      </c>
      <c r="Q22" s="7">
        <f>IF(AND(J22="취약",I22&lt;&gt;"있음",OR(M22="없음",M22="미상")),"Y","N")</f>
        <v/>
      </c>
      <c r="R22" s="7" t="inlineStr">
        <is>
          <t>N</t>
        </is>
      </c>
      <c r="S22" s="8">
        <f>IF(NOT(ISNUMBER(D22)),0,IF(D22&gt;=300,20,IF(D22&gt;=200,15,IF(D22&gt;=100,10,5))))+IF(NOT(ISNUMBER(E22)),0,IF(E22&gt;=60,10,IF(E22&gt;=40,6,3)))+IFERROR(VLOOKUP(F22,기준!$B$4:$C$7,2,FALSE),0)</f>
        <v/>
      </c>
      <c r="T22" s="8">
        <f>IFERROR(VLOOKUP(I22,기준!$B$24:$C$26,2,FALSE),0)+IFERROR(VLOOKUP(J22,기준!$B$29:$C$32,2,FALSE),0)+IFERROR(VLOOKUP(K22,기준!$B$35:$C$41,2,FALSE),0)</f>
        <v/>
      </c>
      <c r="U22" s="8">
        <f>IFERROR(VLOOKUP(G22,기준!$B$10:$C$13,2,FALSE),0)+IFERROR(VLOOKUP(H22,기준!$B$16:$C$21,2,FALSE),0)</f>
        <v/>
      </c>
      <c r="V22" s="8">
        <f>IFERROR(VLOOKUP(L22,기준!$B$44:$C$46,2,FALSE),0)+IFERROR(VLOOKUP(M22,기준!$B$49:$C$52,2,FALSE),0)+IFERROR(VLOOKUP(N22,기준!$B$55:$C$58,2,FALSE),0)</f>
        <v/>
      </c>
      <c r="W22" s="8">
        <f>SUM(S22:V22)</f>
        <v/>
      </c>
      <c r="X22" s="8">
        <f>MIN(IF(O22="Y",20,100),IF(P22="Y",40,100),IF(Q22="Y",50,100),IF(R22="Y",40,100))</f>
        <v/>
      </c>
      <c r="Y22" s="8">
        <f>MIN(W22,X22)</f>
        <v/>
      </c>
      <c r="Z22" s="8">
        <f>RANK(Y22,$Y$2:$Y$34,0)</f>
        <v/>
      </c>
      <c r="AA22" s="7" t="inlineStr">
        <is>
          <t>라벨만</t>
        </is>
      </c>
      <c r="AB22" s="7" t="inlineStr">
        <is>
          <t>미정</t>
        </is>
      </c>
      <c r="AC22" s="6">
        <f>(IF(ISNUMBER(D22),1,0)+IF(ISNUMBER(E22),1,0)+IF(AND(F22&lt;&gt;"미상",F22&lt;&gt;""),1,0)+IF(AND(G22&lt;&gt;"미상",G22&lt;&gt;""),1,0)+IF(AND(H22&lt;&gt;"미상",H22&lt;&gt;""),1,0)+IF(AND(I22&lt;&gt;"미상",I22&lt;&gt;""),1,0)+IF(AND(J22&lt;&gt;"미상",J22&lt;&gt;""),1,0)+IF(AND(K22&lt;&gt;"미상",K22&lt;&gt;""),1,0)+IF(AND(L22&lt;&gt;"미상",L22&lt;&gt;""),1,0)+IF(AND(M22&lt;&gt;"미상",M22&lt;&gt;""),1,0)+IF(AND(N22&lt;&gt;"미상",N22&lt;&gt;""),1,0))&amp;"/11"</f>
        <v/>
      </c>
      <c r="AD22" s="6" t="inlineStr">
        <is>
          <t>오메가3 플러스펫 캐나다 물개오일 140ml+루테인·해양 포유류 오일(해양성·EPA/DHA/DPA 공급</t>
        </is>
      </c>
    </row>
    <row r="23">
      <c r="A23" s="6" t="inlineStr">
        <is>
          <t>22</t>
        </is>
      </c>
      <c r="B23" s="6" t="inlineStr">
        <is>
          <t>닥터뮨 식물성 오메가3</t>
        </is>
      </c>
      <c r="C23" s="6" t="inlineStr">
        <is>
          <t>펫·식물성</t>
        </is>
      </c>
      <c r="D23" s="7" t="n"/>
      <c r="E23" s="7" t="n">
        <v>64.5</v>
      </c>
      <c r="F23" s="7" t="inlineStr">
        <is>
          <t>미상</t>
        </is>
      </c>
      <c r="G23" s="7" t="inlineStr">
        <is>
          <t>미상</t>
        </is>
      </c>
      <c r="H23" s="7" t="inlineStr">
        <is>
          <t>조류</t>
        </is>
      </c>
      <c r="I23" s="7" t="inlineStr">
        <is>
          <t>미상</t>
        </is>
      </c>
      <c r="J23" s="7" t="inlineStr">
        <is>
          <t>미상</t>
        </is>
      </c>
      <c r="K23" s="7" t="inlineStr">
        <is>
          <t>미상</t>
        </is>
      </c>
      <c r="L23" s="7" t="inlineStr">
        <is>
          <t>미상</t>
        </is>
      </c>
      <c r="M23" s="7" t="inlineStr">
        <is>
          <t>미상</t>
        </is>
      </c>
      <c r="N23" s="7" t="inlineStr">
        <is>
          <t>미상</t>
        </is>
      </c>
      <c r="O23" s="7">
        <f>IF(H23="식물성","Y","N")</f>
        <v/>
      </c>
      <c r="P23" s="7" t="inlineStr">
        <is>
          <t>N</t>
        </is>
      </c>
      <c r="Q23" s="7">
        <f>IF(AND(J23="취약",I23&lt;&gt;"있음",OR(M23="없음",M23="미상")),"Y","N")</f>
        <v/>
      </c>
      <c r="R23" s="7" t="inlineStr">
        <is>
          <t>N</t>
        </is>
      </c>
      <c r="S23" s="8">
        <f>IF(NOT(ISNUMBER(D23)),0,IF(D23&gt;=300,20,IF(D23&gt;=200,15,IF(D23&gt;=100,10,5))))+IF(NOT(ISNUMBER(E23)),0,IF(E23&gt;=60,10,IF(E23&gt;=40,6,3)))+IFERROR(VLOOKUP(F23,기준!$B$4:$C$7,2,FALSE),0)</f>
        <v/>
      </c>
      <c r="T23" s="8">
        <f>IFERROR(VLOOKUP(I23,기준!$B$24:$C$26,2,FALSE),0)+IFERROR(VLOOKUP(J23,기준!$B$29:$C$32,2,FALSE),0)+IFERROR(VLOOKUP(K23,기준!$B$35:$C$41,2,FALSE),0)</f>
        <v/>
      </c>
      <c r="U23" s="8">
        <f>IFERROR(VLOOKUP(G23,기준!$B$10:$C$13,2,FALSE),0)+IFERROR(VLOOKUP(H23,기준!$B$16:$C$21,2,FALSE),0)</f>
        <v/>
      </c>
      <c r="V23" s="8">
        <f>IFERROR(VLOOKUP(L23,기준!$B$44:$C$46,2,FALSE),0)+IFERROR(VLOOKUP(M23,기준!$B$49:$C$52,2,FALSE),0)+IFERROR(VLOOKUP(N23,기준!$B$55:$C$58,2,FALSE),0)</f>
        <v/>
      </c>
      <c r="W23" s="8">
        <f>SUM(S23:V23)</f>
        <v/>
      </c>
      <c r="X23" s="8">
        <f>MIN(IF(O23="Y",20,100),IF(P23="Y",40,100),IF(Q23="Y",50,100),IF(R23="Y",40,100))</f>
        <v/>
      </c>
      <c r="Y23" s="8">
        <f>MIN(W23,X23)</f>
        <v/>
      </c>
      <c r="Z23" s="8">
        <f>RANK(Y23,$Y$2:$Y$34,0)</f>
        <v/>
      </c>
      <c r="AA23" s="7" t="inlineStr">
        <is>
          <t>라벨만</t>
        </is>
      </c>
      <c r="AB23" s="7" t="inlineStr">
        <is>
          <t>DHA중심(조류)</t>
        </is>
      </c>
      <c r="AC23" s="6">
        <f>(IF(ISNUMBER(D23),1,0)+IF(ISNUMBER(E23),1,0)+IF(AND(F23&lt;&gt;"미상",F23&lt;&gt;""),1,0)+IF(AND(G23&lt;&gt;"미상",G23&lt;&gt;""),1,0)+IF(AND(H23&lt;&gt;"미상",H23&lt;&gt;""),1,0)+IF(AND(I23&lt;&gt;"미상",I23&lt;&gt;""),1,0)+IF(AND(J23&lt;&gt;"미상",J23&lt;&gt;""),1,0)+IF(AND(K23&lt;&gt;"미상",K23&lt;&gt;""),1,0)+IF(AND(L23&lt;&gt;"미상",L23&lt;&gt;""),1,0)+IF(AND(M23&lt;&gt;"미상",M23&lt;&gt;""),1,0)+IF(AND(N23&lt;&gt;"미상",N23&lt;&gt;""),1,0))&amp;"/11"</f>
        <v/>
      </c>
      <c r="AD23" s="6" t="inlineStr">
        <is>
          <t>미세조류 추출 식물성→조류(정상·상한해제 확정)·1g당 EPA+DHA 645mg→순도64.5%·per캡슐mg 미상(이미지잠금) (drmune.com/etnews 20260210)</t>
        </is>
      </c>
    </row>
    <row r="24">
      <c r="A24" s="6" t="inlineStr">
        <is>
          <t>23</t>
        </is>
      </c>
      <c r="B24" s="6" t="inlineStr">
        <is>
          <t>뉴트리코어 펫 식물성 rTG</t>
        </is>
      </c>
      <c r="C24" s="6" t="inlineStr">
        <is>
          <t>펫·식물성</t>
        </is>
      </c>
      <c r="D24" s="7" t="n"/>
      <c r="E24" s="7" t="n"/>
      <c r="F24" s="7" t="inlineStr">
        <is>
          <t>미상</t>
        </is>
      </c>
      <c r="G24" s="7" t="inlineStr">
        <is>
          <t>rTG</t>
        </is>
      </c>
      <c r="H24" s="7" t="inlineStr">
        <is>
          <t>조류</t>
        </is>
      </c>
      <c r="I24" s="7" t="inlineStr">
        <is>
          <t>미상</t>
        </is>
      </c>
      <c r="J24" s="7" t="inlineStr">
        <is>
          <t>미상</t>
        </is>
      </c>
      <c r="K24" s="7" t="inlineStr">
        <is>
          <t>미상</t>
        </is>
      </c>
      <c r="L24" s="7" t="inlineStr">
        <is>
          <t>미상</t>
        </is>
      </c>
      <c r="M24" s="7" t="inlineStr">
        <is>
          <t>미상</t>
        </is>
      </c>
      <c r="N24" s="7" t="inlineStr">
        <is>
          <t>미상</t>
        </is>
      </c>
      <c r="O24" s="7">
        <f>IF(H24="식물성","Y","N")</f>
        <v/>
      </c>
      <c r="P24" s="7" t="inlineStr">
        <is>
          <t>N</t>
        </is>
      </c>
      <c r="Q24" s="7">
        <f>IF(AND(J24="취약",I24&lt;&gt;"있음",OR(M24="없음",M24="미상")),"Y","N")</f>
        <v/>
      </c>
      <c r="R24" s="7" t="inlineStr">
        <is>
          <t>N</t>
        </is>
      </c>
      <c r="S24" s="8">
        <f>IF(NOT(ISNUMBER(D24)),0,IF(D24&gt;=300,20,IF(D24&gt;=200,15,IF(D24&gt;=100,10,5))))+IF(NOT(ISNUMBER(E24)),0,IF(E24&gt;=60,10,IF(E24&gt;=40,6,3)))+IFERROR(VLOOKUP(F24,기준!$B$4:$C$7,2,FALSE),0)</f>
        <v/>
      </c>
      <c r="T24" s="8">
        <f>IFERROR(VLOOKUP(I24,기준!$B$24:$C$26,2,FALSE),0)+IFERROR(VLOOKUP(J24,기준!$B$29:$C$32,2,FALSE),0)+IFERROR(VLOOKUP(K24,기준!$B$35:$C$41,2,FALSE),0)</f>
        <v/>
      </c>
      <c r="U24" s="8">
        <f>IFERROR(VLOOKUP(G24,기준!$B$10:$C$13,2,FALSE),0)+IFERROR(VLOOKUP(H24,기준!$B$16:$C$21,2,FALSE),0)</f>
        <v/>
      </c>
      <c r="V24" s="8">
        <f>IFERROR(VLOOKUP(L24,기준!$B$44:$C$46,2,FALSE),0)+IFERROR(VLOOKUP(M24,기준!$B$49:$C$52,2,FALSE),0)+IFERROR(VLOOKUP(N24,기준!$B$55:$C$58,2,FALSE),0)</f>
        <v/>
      </c>
      <c r="W24" s="8">
        <f>SUM(S24:V24)</f>
        <v/>
      </c>
      <c r="X24" s="8">
        <f>MIN(IF(O24="Y",20,100),IF(P24="Y",40,100),IF(Q24="Y",50,100),IF(R24="Y",40,100))</f>
        <v/>
      </c>
      <c r="Y24" s="8">
        <f>MIN(W24,X24)</f>
        <v/>
      </c>
      <c r="Z24" s="8">
        <f>RANK(Y24,$Y$2:$Y$34,0)</f>
        <v/>
      </c>
      <c r="AA24" s="7" t="inlineStr">
        <is>
          <t>라벨만</t>
        </is>
      </c>
      <c r="AB24" s="7" t="inlineStr">
        <is>
          <t>DHA중심(조류)</t>
        </is>
      </c>
      <c r="AC24" s="6">
        <f>(IF(ISNUMBER(D24),1,0)+IF(ISNUMBER(E24),1,0)+IF(AND(F24&lt;&gt;"미상",F24&lt;&gt;""),1,0)+IF(AND(G24&lt;&gt;"미상",G24&lt;&gt;""),1,0)+IF(AND(H24&lt;&gt;"미상",H24&lt;&gt;""),1,0)+IF(AND(I24&lt;&gt;"미상",I24&lt;&gt;""),1,0)+IF(AND(J24&lt;&gt;"미상",J24&lt;&gt;""),1,0)+IF(AND(K24&lt;&gt;"미상",K24&lt;&gt;""),1,0)+IF(AND(L24&lt;&gt;"미상",L24&lt;&gt;""),1,0)+IF(AND(M24&lt;&gt;"미상",M24&lt;&gt;""),1,0)+IF(AND(N24&lt;&gt;"미상",N24&lt;&gt;""),1,0))&amp;"/11"</f>
        <v/>
      </c>
      <c r="AD24" s="6" t="inlineStr">
        <is>
          <t>식물성 rTG=미세조류 DHA(EPA 거의 없음)·상한 부적용·DHA 편중·브랜드 식물성라인 순도~80%·공식몰(nutricore.co.kr) 로그인 게이트라 펫 SKU 스펙 직접확인 불가·확인된 건 사람용 하이퍼셀(EPA+DHA 900mg/일·미세조류 rTG)뿐 (소셜타임스·공식 goodsInnb 2608678 게이트)</t>
        </is>
      </c>
    </row>
    <row r="25">
      <c r="A25" s="6" t="inlineStr">
        <is>
          <t>24</t>
        </is>
      </c>
      <c r="B25" s="6" t="inlineStr">
        <is>
          <t>klnix 클리닉스 MEGA-3A</t>
        </is>
      </c>
      <c r="C25" s="6" t="inlineStr">
        <is>
          <t>병원·클리닉</t>
        </is>
      </c>
      <c r="D25" s="7" t="n"/>
      <c r="E25" s="7" t="n"/>
      <c r="F25" s="7" t="inlineStr">
        <is>
          <t>미상</t>
        </is>
      </c>
      <c r="G25" s="7" t="inlineStr">
        <is>
          <t>미상</t>
        </is>
      </c>
      <c r="H25" s="7" t="inlineStr">
        <is>
          <t>미상</t>
        </is>
      </c>
      <c r="I25" s="7" t="inlineStr">
        <is>
          <t>있음</t>
        </is>
      </c>
      <c r="J25" s="7" t="inlineStr">
        <is>
          <t>미상</t>
        </is>
      </c>
      <c r="K25" s="7" t="inlineStr">
        <is>
          <t>미상</t>
        </is>
      </c>
      <c r="L25" s="7" t="inlineStr">
        <is>
          <t>미상</t>
        </is>
      </c>
      <c r="M25" s="7" t="inlineStr">
        <is>
          <t>미상</t>
        </is>
      </c>
      <c r="N25" s="7" t="inlineStr">
        <is>
          <t>명시</t>
        </is>
      </c>
      <c r="O25" s="7">
        <f>IF(H25="식물성","Y","N")</f>
        <v/>
      </c>
      <c r="P25" s="7" t="inlineStr">
        <is>
          <t>N</t>
        </is>
      </c>
      <c r="Q25" s="7">
        <f>IF(AND(J25="취약",I25&lt;&gt;"있음",OR(M25="없음",M25="미상")),"Y","N")</f>
        <v/>
      </c>
      <c r="R25" s="7" t="inlineStr">
        <is>
          <t>N</t>
        </is>
      </c>
      <c r="S25" s="8">
        <f>IF(NOT(ISNUMBER(D25)),0,IF(D25&gt;=300,20,IF(D25&gt;=200,15,IF(D25&gt;=100,10,5))))+IF(NOT(ISNUMBER(E25)),0,IF(E25&gt;=60,10,IF(E25&gt;=40,6,3)))+IFERROR(VLOOKUP(F25,기준!$B$4:$C$7,2,FALSE),0)</f>
        <v/>
      </c>
      <c r="T25" s="8">
        <f>IFERROR(VLOOKUP(I25,기준!$B$24:$C$26,2,FALSE),0)+IFERROR(VLOOKUP(J25,기준!$B$29:$C$32,2,FALSE),0)+IFERROR(VLOOKUP(K25,기준!$B$35:$C$41,2,FALSE),0)</f>
        <v/>
      </c>
      <c r="U25" s="8">
        <f>IFERROR(VLOOKUP(G25,기준!$B$10:$C$13,2,FALSE),0)+IFERROR(VLOOKUP(H25,기준!$B$16:$C$21,2,FALSE),0)</f>
        <v/>
      </c>
      <c r="V25" s="8">
        <f>IFERROR(VLOOKUP(L25,기준!$B$44:$C$46,2,FALSE),0)+IFERROR(VLOOKUP(M25,기준!$B$49:$C$52,2,FALSE),0)+IFERROR(VLOOKUP(N25,기준!$B$55:$C$58,2,FALSE),0)</f>
        <v/>
      </c>
      <c r="W25" s="8">
        <f>SUM(S25:V25)</f>
        <v/>
      </c>
      <c r="X25" s="8">
        <f>MIN(IF(O25="Y",20,100),IF(P25="Y",40,100),IF(Q25="Y",50,100),IF(R25="Y",40,100))</f>
        <v/>
      </c>
      <c r="Y25" s="8">
        <f>MIN(W25,X25)</f>
        <v/>
      </c>
      <c r="Z25" s="8">
        <f>RANK(Y25,$Y$2:$Y$34,0)</f>
        <v/>
      </c>
      <c r="AA25" s="7" t="inlineStr">
        <is>
          <t>라벨만</t>
        </is>
      </c>
      <c r="AB25" s="7" t="inlineStr">
        <is>
          <t>미정</t>
        </is>
      </c>
      <c r="AC25" s="6">
        <f>(IF(ISNUMBER(D25),1,0)+IF(ISNUMBER(E25),1,0)+IF(AND(F25&lt;&gt;"미상",F25&lt;&gt;""),1,0)+IF(AND(G25&lt;&gt;"미상",G25&lt;&gt;""),1,0)+IF(AND(H25&lt;&gt;"미상",H25&lt;&gt;""),1,0)+IF(AND(I25&lt;&gt;"미상",I25&lt;&gt;""),1,0)+IF(AND(J25&lt;&gt;"미상",J25&lt;&gt;""),1,0)+IF(AND(K25&lt;&gt;"미상",K25&lt;&gt;""),1,0)+IF(AND(L25&lt;&gt;"미상",L25&lt;&gt;""),1,0)+IF(AND(M25&lt;&gt;"미상",M25&lt;&gt;""),1,0)+IF(AND(N25&lt;&gt;"미상",N25&lt;&gt;""),1,0))&amp;"/11"</f>
        <v/>
      </c>
      <c r="AD25" s="6" t="inlineStr">
        <is>
          <t>클리닉스 MEGA-3A 미세파우더(가루) 80g·제형토큰 없음(파우더)·생선오일분말(어종 미표기)·EPA/DHA/ALA 함유하나 per회분 mg·순도 미공개(한 스푼≈제품 700mg)·항산화 비타민E+천연알파토코페롤+로즈마리추출물·제조원 대성물산(원료사 명시)·24개월 산패안정성·성분등록 제55VVW0022 (petemart 2124 자동수집+비전 20260620)</t>
        </is>
      </c>
    </row>
    <row r="26">
      <c r="A26" s="6" t="inlineStr">
        <is>
          <t>25</t>
        </is>
      </c>
      <c r="B26" s="6" t="inlineStr">
        <is>
          <t>venefit omega3 plus</t>
        </is>
      </c>
      <c r="C26" s="6" t="inlineStr">
        <is>
          <t>병원·클리닉</t>
        </is>
      </c>
      <c r="D26" s="7" t="n"/>
      <c r="E26" s="7" t="n"/>
      <c r="F26" s="7" t="inlineStr">
        <is>
          <t>미상</t>
        </is>
      </c>
      <c r="G26" s="7" t="inlineStr">
        <is>
          <t>미상</t>
        </is>
      </c>
      <c r="H26" s="7" t="inlineStr">
        <is>
          <t>미상</t>
        </is>
      </c>
      <c r="I26" s="7" t="inlineStr">
        <is>
          <t>미상</t>
        </is>
      </c>
      <c r="J26" s="7" t="inlineStr">
        <is>
          <t>미상</t>
        </is>
      </c>
      <c r="K26" s="7" t="inlineStr">
        <is>
          <t>미상</t>
        </is>
      </c>
      <c r="L26" s="7" t="inlineStr">
        <is>
          <t>미상</t>
        </is>
      </c>
      <c r="M26" s="7" t="inlineStr">
        <is>
          <t>미상</t>
        </is>
      </c>
      <c r="N26" s="7" t="inlineStr">
        <is>
          <t>미상</t>
        </is>
      </c>
      <c r="O26" s="7">
        <f>IF(H26="식물성","Y","N")</f>
        <v/>
      </c>
      <c r="P26" s="7" t="inlineStr">
        <is>
          <t>N</t>
        </is>
      </c>
      <c r="Q26" s="7">
        <f>IF(AND(J26="취약",I26&lt;&gt;"있음",OR(M26="없음",M26="미상")),"Y","N")</f>
        <v/>
      </c>
      <c r="R26" s="7" t="inlineStr">
        <is>
          <t>N</t>
        </is>
      </c>
      <c r="S26" s="8">
        <f>IF(NOT(ISNUMBER(D26)),0,IF(D26&gt;=300,20,IF(D26&gt;=200,15,IF(D26&gt;=100,10,5))))+IF(NOT(ISNUMBER(E26)),0,IF(E26&gt;=60,10,IF(E26&gt;=40,6,3)))+IFERROR(VLOOKUP(F26,기준!$B$4:$C$7,2,FALSE),0)</f>
        <v/>
      </c>
      <c r="T26" s="8">
        <f>IFERROR(VLOOKUP(I26,기준!$B$24:$C$26,2,FALSE),0)+IFERROR(VLOOKUP(J26,기준!$B$29:$C$32,2,FALSE),0)+IFERROR(VLOOKUP(K26,기준!$B$35:$C$41,2,FALSE),0)</f>
        <v/>
      </c>
      <c r="U26" s="8">
        <f>IFERROR(VLOOKUP(G26,기준!$B$10:$C$13,2,FALSE),0)+IFERROR(VLOOKUP(H26,기준!$B$16:$C$21,2,FALSE),0)</f>
        <v/>
      </c>
      <c r="V26" s="8">
        <f>IFERROR(VLOOKUP(L26,기준!$B$44:$C$46,2,FALSE),0)+IFERROR(VLOOKUP(M26,기준!$B$49:$C$52,2,FALSE),0)+IFERROR(VLOOKUP(N26,기준!$B$55:$C$58,2,FALSE),0)</f>
        <v/>
      </c>
      <c r="W26" s="8">
        <f>SUM(S26:V26)</f>
        <v/>
      </c>
      <c r="X26" s="8">
        <f>MIN(IF(O26="Y",20,100),IF(P26="Y",40,100),IF(Q26="Y",50,100),IF(R26="Y",40,100))</f>
        <v/>
      </c>
      <c r="Y26" s="8">
        <f>MIN(W26,X26)</f>
        <v/>
      </c>
      <c r="Z26" s="8">
        <f>RANK(Y26,$Y$2:$Y$34,0)</f>
        <v/>
      </c>
      <c r="AA26" s="7" t="inlineStr">
        <is>
          <t>미상</t>
        </is>
      </c>
      <c r="AB26" s="7" t="inlineStr">
        <is>
          <t>미정</t>
        </is>
      </c>
      <c r="AC26" s="6">
        <f>(IF(ISNUMBER(D26),1,0)+IF(ISNUMBER(E26),1,0)+IF(AND(F26&lt;&gt;"미상",F26&lt;&gt;""),1,0)+IF(AND(G26&lt;&gt;"미상",G26&lt;&gt;""),1,0)+IF(AND(H26&lt;&gt;"미상",H26&lt;&gt;""),1,0)+IF(AND(I26&lt;&gt;"미상",I26&lt;&gt;""),1,0)+IF(AND(J26&lt;&gt;"미상",J26&lt;&gt;""),1,0)+IF(AND(K26&lt;&gt;"미상",K26&lt;&gt;""),1,0)+IF(AND(L26&lt;&gt;"미상",L26&lt;&gt;""),1,0)+IF(AND(M26&lt;&gt;"미상",M26&lt;&gt;""),1,0)+IF(AND(N26&lt;&gt;"미상",N26&lt;&gt;""),1,0))&amp;"/11"</f>
        <v/>
      </c>
      <c r="AD26" s="6" t="inlineStr">
        <is>
          <t>병원 납품·공개정보 적음·수집중</t>
        </is>
      </c>
    </row>
    <row r="27">
      <c r="A27" s="6" t="inlineStr">
        <is>
          <t>26</t>
        </is>
      </c>
      <c r="B27" s="6" t="inlineStr">
        <is>
          <t>스포츠리서치 트리플 스트렝스</t>
        </is>
      </c>
      <c r="C27" s="6" t="inlineStr">
        <is>
          <t>사람용</t>
        </is>
      </c>
      <c r="D27" s="7" t="n">
        <v>937</v>
      </c>
      <c r="E27" s="7" t="n">
        <v>75</v>
      </c>
      <c r="F27" s="7" t="inlineStr">
        <is>
          <t>명시</t>
        </is>
      </c>
      <c r="G27" s="7" t="inlineStr">
        <is>
          <t>TG</t>
        </is>
      </c>
      <c r="H27" s="7" t="inlineStr">
        <is>
          <t>소형어</t>
        </is>
      </c>
      <c r="I27" s="7" t="inlineStr">
        <is>
          <t>미상</t>
        </is>
      </c>
      <c r="J27" s="7" t="inlineStr">
        <is>
          <t>취약</t>
        </is>
      </c>
      <c r="K27" s="7" t="inlineStr">
        <is>
          <t>소프트젤</t>
        </is>
      </c>
      <c r="L27" s="7" t="inlineStr">
        <is>
          <t>있음</t>
        </is>
      </c>
      <c r="M27" s="7" t="inlineStr">
        <is>
          <t>일부</t>
        </is>
      </c>
      <c r="N27" s="7" t="inlineStr">
        <is>
          <t>명시</t>
        </is>
      </c>
      <c r="O27" s="7">
        <f>IF(H27="식물성","Y","N")</f>
        <v/>
      </c>
      <c r="P27" s="7" t="inlineStr">
        <is>
          <t>N</t>
        </is>
      </c>
      <c r="Q27" s="7">
        <f>IF(AND(J27="취약",I27&lt;&gt;"있음",OR(M27="없음",M27="미상")),"Y","N")</f>
        <v/>
      </c>
      <c r="R27" s="7" t="inlineStr">
        <is>
          <t>N</t>
        </is>
      </c>
      <c r="S27" s="8">
        <f>IF(NOT(ISNUMBER(D27)),0,IF(D27&gt;=300,20,IF(D27&gt;=200,15,IF(D27&gt;=100,10,5))))+IF(NOT(ISNUMBER(E27)),0,IF(E27&gt;=60,10,IF(E27&gt;=40,6,3)))+IFERROR(VLOOKUP(F27,기준!$B$4:$C$7,2,FALSE),0)</f>
        <v/>
      </c>
      <c r="T27" s="8">
        <f>IFERROR(VLOOKUP(I27,기준!$B$24:$C$26,2,FALSE),0)+IFERROR(VLOOKUP(J27,기준!$B$29:$C$32,2,FALSE),0)+IFERROR(VLOOKUP(K27,기준!$B$35:$C$41,2,FALSE),0)</f>
        <v/>
      </c>
      <c r="U27" s="8">
        <f>IFERROR(VLOOKUP(G27,기준!$B$10:$C$13,2,FALSE),0)+IFERROR(VLOOKUP(H27,기준!$B$16:$C$21,2,FALSE),0)</f>
        <v/>
      </c>
      <c r="V27" s="8">
        <f>IFERROR(VLOOKUP(L27,기준!$B$44:$C$46,2,FALSE),0)+IFERROR(VLOOKUP(M27,기준!$B$49:$C$52,2,FALSE),0)+IFERROR(VLOOKUP(N27,기준!$B$55:$C$58,2,FALSE),0)</f>
        <v/>
      </c>
      <c r="W27" s="8">
        <f>SUM(S27:V27)</f>
        <v/>
      </c>
      <c r="X27" s="8">
        <f>MIN(IF(O27="Y",20,100),IF(P27="Y",40,100),IF(Q27="Y",50,100),IF(R27="Y",40,100))</f>
        <v/>
      </c>
      <c r="Y27" s="8">
        <f>MIN(W27,X27)</f>
        <v/>
      </c>
      <c r="Z27" s="8">
        <f>RANK(Y27,$Y$2:$Y$34,0)</f>
        <v/>
      </c>
      <c r="AA27" s="7" t="inlineStr">
        <is>
          <t>공개·검증</t>
        </is>
      </c>
      <c r="AB27" s="7" t="inlineStr">
        <is>
          <t>미정</t>
        </is>
      </c>
      <c r="AC27" s="6">
        <f>(IF(ISNUMBER(D27),1,0)+IF(ISNUMBER(E27),1,0)+IF(AND(F27&lt;&gt;"미상",F27&lt;&gt;""),1,0)+IF(AND(G27&lt;&gt;"미상",G27&lt;&gt;""),1,0)+IF(AND(H27&lt;&gt;"미상",H27&lt;&gt;""),1,0)+IF(AND(I27&lt;&gt;"미상",I27&lt;&gt;""),1,0)+IF(AND(J27&lt;&gt;"미상",J27&lt;&gt;""),1,0)+IF(AND(K27&lt;&gt;"미상",K27&lt;&gt;""),1,0)+IF(AND(L27&lt;&gt;"미상",L27&lt;&gt;""),1,0)+IF(AND(M27&lt;&gt;"미상",M27&lt;&gt;""),1,0)+IF(AND(N27&lt;&gt;"미상",N27&lt;&gt;""),1,0))&amp;"/11"</f>
        <v/>
      </c>
      <c r="AD27" s="6" t="inlineStr">
        <is>
          <t>EPA+DHA 937/캡슐·순도~75%·AlaskaOmega·IFOS·병포장 (필라이즈)</t>
        </is>
      </c>
    </row>
    <row r="28">
      <c r="A28" s="6" t="inlineStr">
        <is>
          <t>27</t>
        </is>
      </c>
      <c r="B28" s="6" t="inlineStr">
        <is>
          <t>종근당 프로메가 알티지 듀얼</t>
        </is>
      </c>
      <c r="C28" s="6" t="inlineStr">
        <is>
          <t>사람용</t>
        </is>
      </c>
      <c r="D28" s="7" t="n">
        <v>300</v>
      </c>
      <c r="E28" s="7" t="n"/>
      <c r="F28" s="7" t="inlineStr">
        <is>
          <t>명시</t>
        </is>
      </c>
      <c r="G28" s="7" t="inlineStr">
        <is>
          <t>rTG</t>
        </is>
      </c>
      <c r="H28" s="7" t="inlineStr">
        <is>
          <t>일반어</t>
        </is>
      </c>
      <c r="I28" s="7" t="inlineStr">
        <is>
          <t>미상</t>
        </is>
      </c>
      <c r="J28" s="7" t="inlineStr">
        <is>
          <t>미상</t>
        </is>
      </c>
      <c r="K28" s="7" t="inlineStr">
        <is>
          <t>캡슐</t>
        </is>
      </c>
      <c r="L28" s="7" t="inlineStr">
        <is>
          <t>미상</t>
        </is>
      </c>
      <c r="M28" s="7" t="inlineStr">
        <is>
          <t>미상</t>
        </is>
      </c>
      <c r="N28" s="7" t="inlineStr">
        <is>
          <t>명시</t>
        </is>
      </c>
      <c r="O28" s="7">
        <f>IF(H28="식물성","Y","N")</f>
        <v/>
      </c>
      <c r="P28" s="7" t="inlineStr">
        <is>
          <t>N</t>
        </is>
      </c>
      <c r="Q28" s="7">
        <f>IF(AND(J28="취약",I28&lt;&gt;"있음",OR(M28="없음",M28="미상")),"Y","N")</f>
        <v/>
      </c>
      <c r="R28" s="7" t="inlineStr">
        <is>
          <t>Y</t>
        </is>
      </c>
      <c r="S28" s="8">
        <f>IF(NOT(ISNUMBER(D28)),0,IF(D28&gt;=300,20,IF(D28&gt;=200,15,IF(D28&gt;=100,10,5))))+IF(NOT(ISNUMBER(E28)),0,IF(E28&gt;=60,10,IF(E28&gt;=40,6,3)))+IFERROR(VLOOKUP(F28,기준!$B$4:$C$7,2,FALSE),0)</f>
        <v/>
      </c>
      <c r="T28" s="8">
        <f>IFERROR(VLOOKUP(I28,기준!$B$24:$C$26,2,FALSE),0)+IFERROR(VLOOKUP(J28,기준!$B$29:$C$32,2,FALSE),0)+IFERROR(VLOOKUP(K28,기준!$B$35:$C$41,2,FALSE),0)</f>
        <v/>
      </c>
      <c r="U28" s="8">
        <f>IFERROR(VLOOKUP(G28,기준!$B$10:$C$13,2,FALSE),0)+IFERROR(VLOOKUP(H28,기준!$B$16:$C$21,2,FALSE),0)</f>
        <v/>
      </c>
      <c r="V28" s="8">
        <f>IFERROR(VLOOKUP(L28,기준!$B$44:$C$46,2,FALSE),0)+IFERROR(VLOOKUP(M28,기준!$B$49:$C$52,2,FALSE),0)+IFERROR(VLOOKUP(N28,기준!$B$55:$C$58,2,FALSE),0)</f>
        <v/>
      </c>
      <c r="W28" s="8">
        <f>SUM(S28:V28)</f>
        <v/>
      </c>
      <c r="X28" s="8">
        <f>MIN(IF(O28="Y",20,100),IF(P28="Y",40,100),IF(Q28="Y",50,100),IF(R28="Y",40,100))</f>
        <v/>
      </c>
      <c r="Y28" s="8">
        <f>MIN(W28,X28)</f>
        <v/>
      </c>
      <c r="Z28" s="8">
        <f>RANK(Y28,$Y$2:$Y$34,0)</f>
        <v/>
      </c>
      <c r="AA28" s="7" t="inlineStr">
        <is>
          <t>라벨만</t>
        </is>
      </c>
      <c r="AB28" s="7" t="inlineStr">
        <is>
          <t>미정</t>
        </is>
      </c>
      <c r="AC28" s="6">
        <f>(IF(ISNUMBER(D28),1,0)+IF(ISNUMBER(E28),1,0)+IF(AND(F28&lt;&gt;"미상",F28&lt;&gt;""),1,0)+IF(AND(G28&lt;&gt;"미상",G28&lt;&gt;""),1,0)+IF(AND(H28&lt;&gt;"미상",H28&lt;&gt;""),1,0)+IF(AND(I28&lt;&gt;"미상",I28&lt;&gt;""),1,0)+IF(AND(J28&lt;&gt;"미상",J28&lt;&gt;""),1,0)+IF(AND(K28&lt;&gt;"미상",K28&lt;&gt;""),1,0)+IF(AND(L28&lt;&gt;"미상",L28&lt;&gt;""),1,0)+IF(AND(M28&lt;&gt;"미상",M28&lt;&gt;""),1,0)+IF(AND(N28&lt;&gt;"미상",N28&lt;&gt;""),1,0))&amp;"/11"</f>
        <v/>
      </c>
      <c r="AD28" s="6" t="inlineStr">
        <is>
          <t>1캡슐 EPA+DHA 300mg·rTG·AlaskaOmega(알래스카 명태유=일반어)·비타민A 첨가(눈건강 기능성)·식약처 이중기능성 (ckdhcmall/필라이즈)</t>
        </is>
      </c>
    </row>
    <row r="29">
      <c r="A29" s="6" t="inlineStr">
        <is>
          <t>28</t>
        </is>
      </c>
      <c r="B29" s="6" t="inlineStr">
        <is>
          <t>트루엔 알티지 오메가3</t>
        </is>
      </c>
      <c r="C29" s="6" t="inlineStr">
        <is>
          <t>사람용</t>
        </is>
      </c>
      <c r="D29" s="7" t="n"/>
      <c r="E29" s="7" t="n"/>
      <c r="F29" s="7" t="inlineStr">
        <is>
          <t>미상</t>
        </is>
      </c>
      <c r="G29" s="7" t="inlineStr">
        <is>
          <t>rTG</t>
        </is>
      </c>
      <c r="H29" s="7" t="inlineStr">
        <is>
          <t>일반어</t>
        </is>
      </c>
      <c r="I29" s="7" t="inlineStr">
        <is>
          <t>미상</t>
        </is>
      </c>
      <c r="J29" s="7" t="inlineStr">
        <is>
          <t>우수</t>
        </is>
      </c>
      <c r="K29" s="7" t="inlineStr">
        <is>
          <t>캡슐</t>
        </is>
      </c>
      <c r="L29" s="7" t="inlineStr">
        <is>
          <t>미상</t>
        </is>
      </c>
      <c r="M29" s="7" t="inlineStr">
        <is>
          <t>미상</t>
        </is>
      </c>
      <c r="N29" s="7" t="inlineStr">
        <is>
          <t>미상</t>
        </is>
      </c>
      <c r="O29" s="7">
        <f>IF(H29="식물성","Y","N")</f>
        <v/>
      </c>
      <c r="P29" s="7" t="inlineStr">
        <is>
          <t>N</t>
        </is>
      </c>
      <c r="Q29" s="7">
        <f>IF(AND(J29="취약",I29&lt;&gt;"있음",OR(M29="없음",M29="미상")),"Y","N")</f>
        <v/>
      </c>
      <c r="R29" s="7" t="inlineStr">
        <is>
          <t>Y</t>
        </is>
      </c>
      <c r="S29" s="8">
        <f>IF(NOT(ISNUMBER(D29)),0,IF(D29&gt;=300,20,IF(D29&gt;=200,15,IF(D29&gt;=100,10,5))))+IF(NOT(ISNUMBER(E29)),0,IF(E29&gt;=60,10,IF(E29&gt;=40,6,3)))+IFERROR(VLOOKUP(F29,기준!$B$4:$C$7,2,FALSE),0)</f>
        <v/>
      </c>
      <c r="T29" s="8">
        <f>IFERROR(VLOOKUP(I29,기준!$B$24:$C$26,2,FALSE),0)+IFERROR(VLOOKUP(J29,기준!$B$29:$C$32,2,FALSE),0)+IFERROR(VLOOKUP(K29,기준!$B$35:$C$41,2,FALSE),0)</f>
        <v/>
      </c>
      <c r="U29" s="8">
        <f>IFERROR(VLOOKUP(G29,기준!$B$10:$C$13,2,FALSE),0)+IFERROR(VLOOKUP(H29,기준!$B$16:$C$21,2,FALSE),0)</f>
        <v/>
      </c>
      <c r="V29" s="8">
        <f>IFERROR(VLOOKUP(L29,기준!$B$44:$C$46,2,FALSE),0)+IFERROR(VLOOKUP(M29,기준!$B$49:$C$52,2,FALSE),0)+IFERROR(VLOOKUP(N29,기준!$B$55:$C$58,2,FALSE),0)</f>
        <v/>
      </c>
      <c r="W29" s="8">
        <f>SUM(S29:V29)</f>
        <v/>
      </c>
      <c r="X29" s="8">
        <f>MIN(IF(O29="Y",20,100),IF(P29="Y",40,100),IF(Q29="Y",50,100),IF(R29="Y",40,100))</f>
        <v/>
      </c>
      <c r="Y29" s="8">
        <f>MIN(W29,X29)</f>
        <v/>
      </c>
      <c r="Z29" s="8">
        <f>RANK(Y29,$Y$2:$Y$34,0)</f>
        <v/>
      </c>
      <c r="AA29" s="7" t="inlineStr">
        <is>
          <t>라벨만</t>
        </is>
      </c>
      <c r="AB29" s="7" t="inlineStr">
        <is>
          <t>미정</t>
        </is>
      </c>
      <c r="AC29" s="6">
        <f>(IF(ISNUMBER(D29),1,0)+IF(ISNUMBER(E29),1,0)+IF(AND(F29&lt;&gt;"미상",F29&lt;&gt;""),1,0)+IF(AND(G29&lt;&gt;"미상",G29&lt;&gt;""),1,0)+IF(AND(H29&lt;&gt;"미상",H29&lt;&gt;""),1,0)+IF(AND(I29&lt;&gt;"미상",I29&lt;&gt;""),1,0)+IF(AND(J29&lt;&gt;"미상",J29&lt;&gt;""),1,0)+IF(AND(K29&lt;&gt;"미상",K29&lt;&gt;""),1,0)+IF(AND(L29&lt;&gt;"미상",L29&lt;&gt;""),1,0)+IF(AND(M29&lt;&gt;"미상",M29&lt;&gt;""),1,0)+IF(AND(N29&lt;&gt;"미상",N29&lt;&gt;""),1,0))&amp;"/11"</f>
        <v/>
      </c>
      <c r="AD29" s="6" t="inlineStr">
        <is>
          <t>rTG·Pollack(명태/대구속 어체유=간유아님→대구상한X·일반어)·PVDC개별포장(우수)·비타민D3·per캡슐 EPA+DHA mg 미상 (dawnfactory 블로그·라벨확인필요)</t>
        </is>
      </c>
    </row>
    <row r="30">
      <c r="A30" s="6" t="inlineStr">
        <is>
          <t>29</t>
        </is>
      </c>
      <c r="B30" s="6" t="inlineStr">
        <is>
          <t>닥터닥터스 알티지 rTG 1200</t>
        </is>
      </c>
      <c r="C30" s="6" t="inlineStr">
        <is>
          <t>사람용</t>
        </is>
      </c>
      <c r="D30" s="7" t="n">
        <v>1200</v>
      </c>
      <c r="E30" s="7" t="n"/>
      <c r="F30" s="7" t="inlineStr">
        <is>
          <t>명시</t>
        </is>
      </c>
      <c r="G30" s="7" t="inlineStr">
        <is>
          <t>rTG</t>
        </is>
      </c>
      <c r="H30" s="7" t="inlineStr">
        <is>
          <t>소형어</t>
        </is>
      </c>
      <c r="I30" s="7" t="inlineStr">
        <is>
          <t>미상</t>
        </is>
      </c>
      <c r="J30" s="7" t="inlineStr">
        <is>
          <t>미상</t>
        </is>
      </c>
      <c r="K30" s="7" t="inlineStr">
        <is>
          <t>캡슐</t>
        </is>
      </c>
      <c r="L30" s="7" t="inlineStr">
        <is>
          <t>있음</t>
        </is>
      </c>
      <c r="M30" s="7" t="inlineStr">
        <is>
          <t>미상</t>
        </is>
      </c>
      <c r="N30" s="7" t="inlineStr">
        <is>
          <t>미상</t>
        </is>
      </c>
      <c r="O30" s="7">
        <f>IF(H30="식물성","Y","N")</f>
        <v/>
      </c>
      <c r="P30" s="7" t="inlineStr">
        <is>
          <t>N</t>
        </is>
      </c>
      <c r="Q30" s="7">
        <f>IF(AND(J30="취약",I30&lt;&gt;"있음",OR(M30="없음",M30="미상")),"Y","N")</f>
        <v/>
      </c>
      <c r="R30" s="7" t="inlineStr">
        <is>
          <t>Y</t>
        </is>
      </c>
      <c r="S30" s="8">
        <f>IF(NOT(ISNUMBER(D30)),0,IF(D30&gt;=300,20,IF(D30&gt;=200,15,IF(D30&gt;=100,10,5))))+IF(NOT(ISNUMBER(E30)),0,IF(E30&gt;=60,10,IF(E30&gt;=40,6,3)))+IFERROR(VLOOKUP(F30,기준!$B$4:$C$7,2,FALSE),0)</f>
        <v/>
      </c>
      <c r="T30" s="8">
        <f>IFERROR(VLOOKUP(I30,기준!$B$24:$C$26,2,FALSE),0)+IFERROR(VLOOKUP(J30,기준!$B$29:$C$32,2,FALSE),0)+IFERROR(VLOOKUP(K30,기준!$B$35:$C$41,2,FALSE),0)</f>
        <v/>
      </c>
      <c r="U30" s="8">
        <f>IFERROR(VLOOKUP(G30,기준!$B$10:$C$13,2,FALSE),0)+IFERROR(VLOOKUP(H30,기준!$B$16:$C$21,2,FALSE),0)</f>
        <v/>
      </c>
      <c r="V30" s="8">
        <f>IFERROR(VLOOKUP(L30,기준!$B$44:$C$46,2,FALSE),0)+IFERROR(VLOOKUP(M30,기준!$B$49:$C$52,2,FALSE),0)+IFERROR(VLOOKUP(N30,기준!$B$55:$C$58,2,FALSE),0)</f>
        <v/>
      </c>
      <c r="W30" s="8">
        <f>SUM(S30:V30)</f>
        <v/>
      </c>
      <c r="X30" s="8">
        <f>MIN(IF(O30="Y",20,100),IF(P30="Y",40,100),IF(Q30="Y",50,100),IF(R30="Y",40,100))</f>
        <v/>
      </c>
      <c r="Y30" s="8">
        <f>MIN(W30,X30)</f>
        <v/>
      </c>
      <c r="Z30" s="8">
        <f>RANK(Y30,$Y$2:$Y$34,0)</f>
        <v/>
      </c>
      <c r="AA30" s="7" t="inlineStr">
        <is>
          <t>라벨만</t>
        </is>
      </c>
      <c r="AB30" s="7" t="inlineStr">
        <is>
          <t>미정</t>
        </is>
      </c>
      <c r="AC30" s="6">
        <f>(IF(ISNUMBER(D30),1,0)+IF(ISNUMBER(E30),1,0)+IF(AND(F30&lt;&gt;"미상",F30&lt;&gt;""),1,0)+IF(AND(G30&lt;&gt;"미상",G30&lt;&gt;""),1,0)+IF(AND(H30&lt;&gt;"미상",H30&lt;&gt;""),1,0)+IF(AND(I30&lt;&gt;"미상",I30&lt;&gt;""),1,0)+IF(AND(J30&lt;&gt;"미상",J30&lt;&gt;""),1,0)+IF(AND(K30&lt;&gt;"미상",K30&lt;&gt;""),1,0)+IF(AND(L30&lt;&gt;"미상",L30&lt;&gt;""),1,0)+IF(AND(M30&lt;&gt;"미상",M30&lt;&gt;""),1,0)+IF(AND(N30&lt;&gt;"미상",N30&lt;&gt;""),1,0))&amp;"/11"</f>
        <v/>
      </c>
      <c r="AD30" s="6" t="inlineStr">
        <is>
          <t>1캡슐 EPA800+DHA400=1200mg·100%멸치어유(소형어)·rTG·IFOS5STAR·비타민D 1000IU·90캡슐(3개월) (drdoctors.co.kr/11번가/필라이즈)</t>
        </is>
      </c>
    </row>
    <row r="31">
      <c r="A31" s="6" t="inlineStr">
        <is>
          <t>30</t>
        </is>
      </c>
      <c r="B31" s="6" t="inlineStr">
        <is>
          <t>위타민 알티지</t>
        </is>
      </c>
      <c r="C31" s="6" t="inlineStr">
        <is>
          <t>사람용</t>
        </is>
      </c>
      <c r="D31" s="7" t="n">
        <v>980</v>
      </c>
      <c r="E31" s="7" t="n"/>
      <c r="F31" s="7" t="inlineStr">
        <is>
          <t>미상</t>
        </is>
      </c>
      <c r="G31" s="7" t="inlineStr">
        <is>
          <t>rTG</t>
        </is>
      </c>
      <c r="H31" s="7" t="inlineStr">
        <is>
          <t>미상</t>
        </is>
      </c>
      <c r="I31" s="7" t="inlineStr">
        <is>
          <t>미상</t>
        </is>
      </c>
      <c r="J31" s="7" t="inlineStr">
        <is>
          <t>미상</t>
        </is>
      </c>
      <c r="K31" s="7" t="inlineStr">
        <is>
          <t>캡슐</t>
        </is>
      </c>
      <c r="L31" s="7" t="inlineStr">
        <is>
          <t>있음</t>
        </is>
      </c>
      <c r="M31" s="7" t="inlineStr">
        <is>
          <t>일부</t>
        </is>
      </c>
      <c r="N31" s="7" t="inlineStr">
        <is>
          <t>명시</t>
        </is>
      </c>
      <c r="O31" s="7">
        <f>IF(H31="식물성","Y","N")</f>
        <v/>
      </c>
      <c r="P31" s="7" t="inlineStr">
        <is>
          <t>N</t>
        </is>
      </c>
      <c r="Q31" s="7">
        <f>IF(AND(J31="취약",I31&lt;&gt;"있음",OR(M31="없음",M31="미상")),"Y","N")</f>
        <v/>
      </c>
      <c r="R31" s="7" t="inlineStr">
        <is>
          <t>N</t>
        </is>
      </c>
      <c r="S31" s="8">
        <f>IF(NOT(ISNUMBER(D31)),0,IF(D31&gt;=300,20,IF(D31&gt;=200,15,IF(D31&gt;=100,10,5))))+IF(NOT(ISNUMBER(E31)),0,IF(E31&gt;=60,10,IF(E31&gt;=40,6,3)))+IFERROR(VLOOKUP(F31,기준!$B$4:$C$7,2,FALSE),0)</f>
        <v/>
      </c>
      <c r="T31" s="8">
        <f>IFERROR(VLOOKUP(I31,기준!$B$24:$C$26,2,FALSE),0)+IFERROR(VLOOKUP(J31,기준!$B$29:$C$32,2,FALSE),0)+IFERROR(VLOOKUP(K31,기준!$B$35:$C$41,2,FALSE),0)</f>
        <v/>
      </c>
      <c r="U31" s="8">
        <f>IFERROR(VLOOKUP(G31,기준!$B$10:$C$13,2,FALSE),0)+IFERROR(VLOOKUP(H31,기준!$B$16:$C$21,2,FALSE),0)</f>
        <v/>
      </c>
      <c r="V31" s="8">
        <f>IFERROR(VLOOKUP(L31,기준!$B$44:$C$46,2,FALSE),0)+IFERROR(VLOOKUP(M31,기준!$B$49:$C$52,2,FALSE),0)+IFERROR(VLOOKUP(N31,기준!$B$55:$C$58,2,FALSE),0)</f>
        <v/>
      </c>
      <c r="W31" s="8">
        <f>SUM(S31:V31)</f>
        <v/>
      </c>
      <c r="X31" s="8">
        <f>MIN(IF(O31="Y",20,100),IF(P31="Y",40,100),IF(Q31="Y",50,100),IF(R31="Y",40,100))</f>
        <v/>
      </c>
      <c r="Y31" s="8">
        <f>MIN(W31,X31)</f>
        <v/>
      </c>
      <c r="Z31" s="8">
        <f>RANK(Y31,$Y$2:$Y$34,0)</f>
        <v/>
      </c>
      <c r="AA31" s="7" t="inlineStr">
        <is>
          <t>공개·검증</t>
        </is>
      </c>
      <c r="AB31" s="7" t="inlineStr">
        <is>
          <t>미정</t>
        </is>
      </c>
      <c r="AC31" s="6">
        <f>(IF(ISNUMBER(D31),1,0)+IF(ISNUMBER(E31),1,0)+IF(AND(F31&lt;&gt;"미상",F31&lt;&gt;""),1,0)+IF(AND(G31&lt;&gt;"미상",G31&lt;&gt;""),1,0)+IF(AND(H31&lt;&gt;"미상",H31&lt;&gt;""),1,0)+IF(AND(I31&lt;&gt;"미상",I31&lt;&gt;""),1,0)+IF(AND(J31&lt;&gt;"미상",J31&lt;&gt;""),1,0)+IF(AND(K31&lt;&gt;"미상",K31&lt;&gt;""),1,0)+IF(AND(L31&lt;&gt;"미상",L31&lt;&gt;""),1,0)+IF(AND(M31&lt;&gt;"미상",M31&lt;&gt;""),1,0)+IF(AND(N31&lt;&gt;"미상",N31&lt;&gt;""),1,0))&amp;"/11"</f>
        <v/>
      </c>
      <c r="AD31" s="6" t="inlineStr">
        <is>
          <t>완제품 IFOS·EPA+DHA 980mg·rTG·KD파마 원료(원료+완제품IFOS5★)·별도SKU 1280mg 존재 (weetamin.co.kr)</t>
        </is>
      </c>
    </row>
    <row r="32">
      <c r="A32" s="6" t="inlineStr">
        <is>
          <t>31</t>
        </is>
      </c>
      <c r="B32" s="6" t="inlineStr">
        <is>
          <t>캘리포니아골드 뉴트리션 오메가3</t>
        </is>
      </c>
      <c r="C32" s="6" t="inlineStr">
        <is>
          <t>사람용</t>
        </is>
      </c>
      <c r="D32" s="7" t="n">
        <v>300</v>
      </c>
      <c r="E32" s="7" t="n">
        <v>60</v>
      </c>
      <c r="F32" s="7" t="inlineStr">
        <is>
          <t>명시</t>
        </is>
      </c>
      <c r="G32" s="7" t="inlineStr">
        <is>
          <t>TG</t>
        </is>
      </c>
      <c r="H32" s="7" t="inlineStr">
        <is>
          <t>소형어</t>
        </is>
      </c>
      <c r="I32" s="7" t="inlineStr">
        <is>
          <t>있음</t>
        </is>
      </c>
      <c r="J32" s="7" t="inlineStr">
        <is>
          <t>취약</t>
        </is>
      </c>
      <c r="K32" s="7" t="inlineStr">
        <is>
          <t>소프트젤</t>
        </is>
      </c>
      <c r="L32" s="7" t="inlineStr">
        <is>
          <t>미상</t>
        </is>
      </c>
      <c r="M32" s="7" t="inlineStr">
        <is>
          <t>일부</t>
        </is>
      </c>
      <c r="N32" s="7" t="inlineStr">
        <is>
          <t>미상</t>
        </is>
      </c>
      <c r="O32" s="7">
        <f>IF(H32="식물성","Y","N")</f>
        <v/>
      </c>
      <c r="P32" s="7" t="inlineStr">
        <is>
          <t>N</t>
        </is>
      </c>
      <c r="Q32" s="7">
        <f>IF(AND(J32="취약",I32&lt;&gt;"있음",OR(M32="없음",M32="미상")),"Y","N")</f>
        <v/>
      </c>
      <c r="R32" s="7" t="inlineStr">
        <is>
          <t>N</t>
        </is>
      </c>
      <c r="S32" s="8">
        <f>IF(NOT(ISNUMBER(D32)),0,IF(D32&gt;=300,20,IF(D32&gt;=200,15,IF(D32&gt;=100,10,5))))+IF(NOT(ISNUMBER(E32)),0,IF(E32&gt;=60,10,IF(E32&gt;=40,6,3)))+IFERROR(VLOOKUP(F32,기준!$B$4:$C$7,2,FALSE),0)</f>
        <v/>
      </c>
      <c r="T32" s="8">
        <f>IFERROR(VLOOKUP(I32,기준!$B$24:$C$26,2,FALSE),0)+IFERROR(VLOOKUP(J32,기준!$B$29:$C$32,2,FALSE),0)+IFERROR(VLOOKUP(K32,기준!$B$35:$C$41,2,FALSE),0)</f>
        <v/>
      </c>
      <c r="U32" s="8">
        <f>IFERROR(VLOOKUP(G32,기준!$B$10:$C$13,2,FALSE),0)+IFERROR(VLOOKUP(H32,기준!$B$16:$C$21,2,FALSE),0)</f>
        <v/>
      </c>
      <c r="V32" s="8">
        <f>IFERROR(VLOOKUP(L32,기준!$B$44:$C$46,2,FALSE),0)+IFERROR(VLOOKUP(M32,기준!$B$49:$C$52,2,FALSE),0)+IFERROR(VLOOKUP(N32,기준!$B$55:$C$58,2,FALSE),0)</f>
        <v/>
      </c>
      <c r="W32" s="8">
        <f>SUM(S32:V32)</f>
        <v/>
      </c>
      <c r="X32" s="8">
        <f>MIN(IF(O32="Y",20,100),IF(P32="Y",40,100),IF(Q32="Y",50,100),IF(R32="Y",40,100))</f>
        <v/>
      </c>
      <c r="Y32" s="8">
        <f>MIN(W32,X32)</f>
        <v/>
      </c>
      <c r="Z32" s="8">
        <f>RANK(Y32,$Y$2:$Y$34,0)</f>
        <v/>
      </c>
      <c r="AA32" s="7" t="inlineStr">
        <is>
          <t>공개·검증</t>
        </is>
      </c>
      <c r="AB32" s="7" t="inlineStr">
        <is>
          <t>미정</t>
        </is>
      </c>
      <c r="AC32" s="6">
        <f>(IF(ISNUMBER(D32),1,0)+IF(ISNUMBER(E32),1,0)+IF(AND(F32&lt;&gt;"미상",F32&lt;&gt;""),1,0)+IF(AND(G32&lt;&gt;"미상",G32&lt;&gt;""),1,0)+IF(AND(H32&lt;&gt;"미상",H32&lt;&gt;""),1,0)+IF(AND(I32&lt;&gt;"미상",I32&lt;&gt;""),1,0)+IF(AND(J32&lt;&gt;"미상",J32&lt;&gt;""),1,0)+IF(AND(K32&lt;&gt;"미상",K32&lt;&gt;""),1,0)+IF(AND(L32&lt;&gt;"미상",L32&lt;&gt;""),1,0)+IF(AND(M32&lt;&gt;"미상",M32&lt;&gt;""),1,0)+IF(AND(N32&lt;&gt;"미상",N32&lt;&gt;""),1,0))&amp;"/11"</f>
        <v/>
      </c>
      <c r="AD32" s="6" t="inlineStr">
        <is>
          <t>1캡슐 EPA180+DHA120=300mg(총500mg·순도60%)·멸치/고등어/정어리/참치·농축TG·비타민E·중금속/PCB시험 (iHerb)</t>
        </is>
      </c>
    </row>
    <row r="33">
      <c r="A33" s="6" t="inlineStr">
        <is>
          <t>32</t>
        </is>
      </c>
      <c r="B33" s="6" t="inlineStr">
        <is>
          <t>담백하루 초임계 알티지 1000</t>
        </is>
      </c>
      <c r="C33" s="6" t="inlineStr">
        <is>
          <t>사람용</t>
        </is>
      </c>
      <c r="D33" s="7" t="n">
        <v>1000</v>
      </c>
      <c r="E33" s="7" t="n">
        <v>79.7</v>
      </c>
      <c r="F33" s="7" t="inlineStr">
        <is>
          <t>미상</t>
        </is>
      </c>
      <c r="G33" s="7" t="inlineStr">
        <is>
          <t>rTG</t>
        </is>
      </c>
      <c r="H33" s="7" t="inlineStr">
        <is>
          <t>미상</t>
        </is>
      </c>
      <c r="I33" s="7" t="inlineStr">
        <is>
          <t>미상</t>
        </is>
      </c>
      <c r="J33" s="7" t="inlineStr">
        <is>
          <t>미상</t>
        </is>
      </c>
      <c r="K33" s="7" t="inlineStr">
        <is>
          <t>캡슐</t>
        </is>
      </c>
      <c r="L33" s="7" t="inlineStr">
        <is>
          <t>있음</t>
        </is>
      </c>
      <c r="M33" s="7" t="inlineStr">
        <is>
          <t>일부</t>
        </is>
      </c>
      <c r="N33" s="7" t="inlineStr">
        <is>
          <t>명시</t>
        </is>
      </c>
      <c r="O33" s="7">
        <f>IF(H33="식물성","Y","N")</f>
        <v/>
      </c>
      <c r="P33" s="7" t="inlineStr">
        <is>
          <t>N</t>
        </is>
      </c>
      <c r="Q33" s="7">
        <f>IF(AND(J33="취약",I33&lt;&gt;"있음",OR(M33="없음",M33="미상")),"Y","N")</f>
        <v/>
      </c>
      <c r="R33" s="7" t="inlineStr">
        <is>
          <t>Y</t>
        </is>
      </c>
      <c r="S33" s="8">
        <f>IF(NOT(ISNUMBER(D33)),0,IF(D33&gt;=300,20,IF(D33&gt;=200,15,IF(D33&gt;=100,10,5))))+IF(NOT(ISNUMBER(E33)),0,IF(E33&gt;=60,10,IF(E33&gt;=40,6,3)))+IFERROR(VLOOKUP(F33,기준!$B$4:$C$7,2,FALSE),0)</f>
        <v/>
      </c>
      <c r="T33" s="8">
        <f>IFERROR(VLOOKUP(I33,기준!$B$24:$C$26,2,FALSE),0)+IFERROR(VLOOKUP(J33,기준!$B$29:$C$32,2,FALSE),0)+IFERROR(VLOOKUP(K33,기준!$B$35:$C$41,2,FALSE),0)</f>
        <v/>
      </c>
      <c r="U33" s="8">
        <f>IFERROR(VLOOKUP(G33,기준!$B$10:$C$13,2,FALSE),0)+IFERROR(VLOOKUP(H33,기준!$B$16:$C$21,2,FALSE),0)</f>
        <v/>
      </c>
      <c r="V33" s="8">
        <f>IFERROR(VLOOKUP(L33,기준!$B$44:$C$46,2,FALSE),0)+IFERROR(VLOOKUP(M33,기준!$B$49:$C$52,2,FALSE),0)+IFERROR(VLOOKUP(N33,기준!$B$55:$C$58,2,FALSE),0)</f>
        <v/>
      </c>
      <c r="W33" s="8">
        <f>SUM(S33:V33)</f>
        <v/>
      </c>
      <c r="X33" s="8">
        <f>MIN(IF(O33="Y",20,100),IF(P33="Y",40,100),IF(Q33="Y",50,100),IF(R33="Y",40,100))</f>
        <v/>
      </c>
      <c r="Y33" s="8">
        <f>MIN(W33,X33)</f>
        <v/>
      </c>
      <c r="Z33" s="8">
        <f>RANK(Y33,$Y$2:$Y$34,0)</f>
        <v/>
      </c>
      <c r="AA33" s="7" t="inlineStr">
        <is>
          <t>공개·검증</t>
        </is>
      </c>
      <c r="AB33" s="7" t="inlineStr">
        <is>
          <t>미정</t>
        </is>
      </c>
      <c r="AC33" s="6">
        <f>(IF(ISNUMBER(D33),1,0)+IF(ISNUMBER(E33),1,0)+IF(AND(F33&lt;&gt;"미상",F33&lt;&gt;""),1,0)+IF(AND(G33&lt;&gt;"미상",G33&lt;&gt;""),1,0)+IF(AND(H33&lt;&gt;"미상",H33&lt;&gt;""),1,0)+IF(AND(I33&lt;&gt;"미상",I33&lt;&gt;""),1,0)+IF(AND(J33&lt;&gt;"미상",J33&lt;&gt;""),1,0)+IF(AND(K33&lt;&gt;"미상",K33&lt;&gt;""),1,0)+IF(AND(L33&lt;&gt;"미상",L33&lt;&gt;""),1,0)+IF(AND(M33&lt;&gt;"미상",M33&lt;&gt;""),1,0)+IF(AND(N33&lt;&gt;"미상",N33&lt;&gt;""),1,0))&amp;"/11"</f>
        <v/>
      </c>
      <c r="AD33" s="6" t="inlineStr">
        <is>
          <t>EPA+DHA 1000mg/1255mg캡슐(순도79.7%)·KD파마 원료·초임계rTG·완제품IFOS·비타민D 15μg·AlpiBio제조 (dambaekharu/danawa/필라이즈)</t>
        </is>
      </c>
    </row>
    <row r="34">
      <c r="A34" s="6" t="inlineStr">
        <is>
          <t>33</t>
        </is>
      </c>
      <c r="B34" s="6" t="inlineStr">
        <is>
          <t>고려은단 식물성 퓨어 알티지</t>
        </is>
      </c>
      <c r="C34" s="6" t="inlineStr">
        <is>
          <t>사람용·식물성</t>
        </is>
      </c>
      <c r="D34" s="7" t="n"/>
      <c r="E34" s="7" t="n">
        <v>75</v>
      </c>
      <c r="F34" s="7" t="inlineStr">
        <is>
          <t>미상</t>
        </is>
      </c>
      <c r="G34" s="7" t="inlineStr">
        <is>
          <t>rTG</t>
        </is>
      </c>
      <c r="H34" s="7" t="inlineStr">
        <is>
          <t>조류</t>
        </is>
      </c>
      <c r="I34" s="7" t="inlineStr">
        <is>
          <t>미상</t>
        </is>
      </c>
      <c r="J34" s="7" t="inlineStr">
        <is>
          <t>미상</t>
        </is>
      </c>
      <c r="K34" s="7" t="inlineStr">
        <is>
          <t>캡슐</t>
        </is>
      </c>
      <c r="L34" s="7" t="inlineStr">
        <is>
          <t>미상</t>
        </is>
      </c>
      <c r="M34" s="7" t="inlineStr">
        <is>
          <t>미상</t>
        </is>
      </c>
      <c r="N34" s="7" t="inlineStr">
        <is>
          <t>명시</t>
        </is>
      </c>
      <c r="O34" s="7">
        <f>IF(H34="식물성","Y","N")</f>
        <v/>
      </c>
      <c r="P34" s="7" t="inlineStr">
        <is>
          <t>N</t>
        </is>
      </c>
      <c r="Q34" s="7">
        <f>IF(AND(J34="취약",I34&lt;&gt;"있음",OR(M34="없음",M34="미상")),"Y","N")</f>
        <v/>
      </c>
      <c r="R34" s="7" t="inlineStr">
        <is>
          <t>N</t>
        </is>
      </c>
      <c r="S34" s="8">
        <f>IF(NOT(ISNUMBER(D34)),0,IF(D34&gt;=300,20,IF(D34&gt;=200,15,IF(D34&gt;=100,10,5))))+IF(NOT(ISNUMBER(E34)),0,IF(E34&gt;=60,10,IF(E34&gt;=40,6,3)))+IFERROR(VLOOKUP(F34,기준!$B$4:$C$7,2,FALSE),0)</f>
        <v/>
      </c>
      <c r="T34" s="8">
        <f>IFERROR(VLOOKUP(I34,기준!$B$24:$C$26,2,FALSE),0)+IFERROR(VLOOKUP(J34,기준!$B$29:$C$32,2,FALSE),0)+IFERROR(VLOOKUP(K34,기준!$B$35:$C$41,2,FALSE),0)</f>
        <v/>
      </c>
      <c r="U34" s="8">
        <f>IFERROR(VLOOKUP(G34,기준!$B$10:$C$13,2,FALSE),0)+IFERROR(VLOOKUP(H34,기준!$B$16:$C$21,2,FALSE),0)</f>
        <v/>
      </c>
      <c r="V34" s="8">
        <f>IFERROR(VLOOKUP(L34,기준!$B$44:$C$46,2,FALSE),0)+IFERROR(VLOOKUP(M34,기준!$B$49:$C$52,2,FALSE),0)+IFERROR(VLOOKUP(N34,기준!$B$55:$C$58,2,FALSE),0)</f>
        <v/>
      </c>
      <c r="W34" s="8">
        <f>SUM(S34:V34)</f>
        <v/>
      </c>
      <c r="X34" s="8">
        <f>MIN(IF(O34="Y",20,100),IF(P34="Y",40,100),IF(Q34="Y",50,100),IF(R34="Y",40,100))</f>
        <v/>
      </c>
      <c r="Y34" s="8">
        <f>MIN(W34,X34)</f>
        <v/>
      </c>
      <c r="Z34" s="8">
        <f>RANK(Y34,$Y$2:$Y$34,0)</f>
        <v/>
      </c>
      <c r="AA34" s="7" t="inlineStr">
        <is>
          <t>라벨만</t>
        </is>
      </c>
      <c r="AB34" s="7" t="inlineStr">
        <is>
          <t>DHA중심(조류)</t>
        </is>
      </c>
      <c r="AC34" s="6">
        <f>(IF(ISNUMBER(D34),1,0)+IF(ISNUMBER(E34),1,0)+IF(AND(F34&lt;&gt;"미상",F34&lt;&gt;""),1,0)+IF(AND(G34&lt;&gt;"미상",G34&lt;&gt;""),1,0)+IF(AND(H34&lt;&gt;"미상",H34&lt;&gt;""),1,0)+IF(AND(I34&lt;&gt;"미상",I34&lt;&gt;""),1,0)+IF(AND(J34&lt;&gt;"미상",J34&lt;&gt;""),1,0)+IF(AND(K34&lt;&gt;"미상",K34&lt;&gt;""),1,0)+IF(AND(L34&lt;&gt;"미상",L34&lt;&gt;""),1,0)+IF(AND(M34&lt;&gt;"미상",M34&lt;&gt;""),1,0)+IF(AND(N34&lt;&gt;"미상",N34&lt;&gt;""),1,0))&amp;"/11"</f>
        <v/>
      </c>
      <c r="AD34" s="6" t="inlineStr">
        <is>
          <t>무균배양 미세조류(DSM 원료·순도75%)·rTG·EPA/DHA 균형·상한 부적용·per캡슐mg SKU별 상이(기억력+ 900mg) (고려은단/메디파나/소셜타임스)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2026-06-20T13:49:18Z</dcterms:created>
  <dcterms:modified xmlns:dcterms="http://purl.org/dc/terms/" xmlns:xsi="http://www.w3.org/2001/XMLSchema-instance" xsi:type="dcterms:W3CDTF">2026-06-20T13:49:18Z</dcterms:modified>
</cp:coreProperties>
</file>