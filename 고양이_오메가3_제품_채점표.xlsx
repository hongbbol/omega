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기준" sheetId="1" state="visible" r:id="rId1"/>
    <sheet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식물성</t>
        </is>
      </c>
      <c r="C18" s="4" t="n">
        <v>0</v>
      </c>
    </row>
    <row r="19">
      <c r="B19" s="4" t="inlineStr">
        <is>
          <t>조류</t>
        </is>
      </c>
      <c r="C19" s="4" t="n">
        <v>8</v>
      </c>
    </row>
    <row r="20">
      <c r="B20" s="4" t="inlineStr">
        <is>
          <t>미상</t>
        </is>
      </c>
      <c r="C20" s="4" t="n">
        <v>3</v>
      </c>
    </row>
    <row r="22">
      <c r="B22" s="3" t="inlineStr">
        <is>
          <t>항산화제</t>
        </is>
      </c>
    </row>
    <row r="23">
      <c r="B23" s="4" t="inlineStr">
        <is>
          <t>있음</t>
        </is>
      </c>
      <c r="C23" s="4" t="n">
        <v>10</v>
      </c>
    </row>
    <row r="24">
      <c r="B24" s="4" t="inlineStr">
        <is>
          <t>없음</t>
        </is>
      </c>
      <c r="C24" s="4" t="n">
        <v>0</v>
      </c>
    </row>
    <row r="25">
      <c r="B25" s="4" t="inlineStr">
        <is>
          <t>미상</t>
        </is>
      </c>
      <c r="C25" s="4" t="n">
        <v>0</v>
      </c>
    </row>
    <row r="27">
      <c r="B27" s="3" t="inlineStr">
        <is>
          <t>포장</t>
        </is>
      </c>
    </row>
    <row r="28">
      <c r="B28" s="4" t="inlineStr">
        <is>
          <t>우수</t>
        </is>
      </c>
      <c r="C28" s="4" t="n">
        <v>10</v>
      </c>
    </row>
    <row r="29">
      <c r="B29" s="4" t="inlineStr">
        <is>
          <t>보통</t>
        </is>
      </c>
      <c r="C29" s="4" t="n">
        <v>5</v>
      </c>
    </row>
    <row r="30">
      <c r="B30" s="4" t="inlineStr">
        <is>
          <t>취약</t>
        </is>
      </c>
      <c r="C30" s="4" t="n">
        <v>0</v>
      </c>
    </row>
    <row r="31">
      <c r="B31" s="4" t="inlineStr">
        <is>
          <t>미상</t>
        </is>
      </c>
      <c r="C31" s="4" t="n">
        <v>0</v>
      </c>
    </row>
    <row r="33">
      <c r="B33" s="3" t="inlineStr">
        <is>
          <t>제형</t>
        </is>
      </c>
    </row>
    <row r="34">
      <c r="B34" s="4" t="inlineStr">
        <is>
          <t>캡슐</t>
        </is>
      </c>
      <c r="C34" s="4" t="n">
        <v>10</v>
      </c>
    </row>
    <row r="35">
      <c r="B35" s="4" t="inlineStr">
        <is>
          <t>소프트젤</t>
        </is>
      </c>
      <c r="C35" s="4" t="n">
        <v>10</v>
      </c>
    </row>
    <row r="36">
      <c r="B36" s="4" t="inlineStr">
        <is>
          <t>츄</t>
        </is>
      </c>
      <c r="C36" s="4" t="n">
        <v>6</v>
      </c>
    </row>
    <row r="37">
      <c r="B37" s="4" t="inlineStr">
        <is>
          <t>스틱</t>
        </is>
      </c>
      <c r="C37" s="4" t="n">
        <v>6</v>
      </c>
    </row>
    <row r="38">
      <c r="B38" s="4" t="inlineStr">
        <is>
          <t>펌프액상</t>
        </is>
      </c>
      <c r="C38" s="4" t="n">
        <v>6</v>
      </c>
    </row>
    <row r="39">
      <c r="B39" s="4" t="inlineStr">
        <is>
          <t>대용량액상</t>
        </is>
      </c>
      <c r="C39" s="4" t="n">
        <v>2</v>
      </c>
    </row>
    <row r="40">
      <c r="B40" s="4" t="inlineStr">
        <is>
          <t>미상</t>
        </is>
      </c>
      <c r="C40" s="4" t="n">
        <v>0</v>
      </c>
    </row>
    <row r="42">
      <c r="B42" s="3" t="inlineStr">
        <is>
          <t>인증</t>
        </is>
      </c>
    </row>
    <row r="43">
      <c r="B43" s="4" t="inlineStr">
        <is>
          <t>있음</t>
        </is>
      </c>
      <c r="C43" s="4" t="n">
        <v>5</v>
      </c>
    </row>
    <row r="44">
      <c r="B44" s="4" t="inlineStr">
        <is>
          <t>없음</t>
        </is>
      </c>
      <c r="C44" s="4" t="n">
        <v>0</v>
      </c>
    </row>
    <row r="45">
      <c r="B45" s="4" t="inlineStr">
        <is>
          <t>미상</t>
        </is>
      </c>
      <c r="C45" s="4" t="n">
        <v>0</v>
      </c>
    </row>
    <row r="47">
      <c r="B47" s="3" t="inlineStr">
        <is>
          <t>COA</t>
        </is>
      </c>
    </row>
    <row r="48">
      <c r="B48" s="4" t="inlineStr">
        <is>
          <t>공개</t>
        </is>
      </c>
      <c r="C48" s="4" t="n">
        <v>6</v>
      </c>
    </row>
    <row r="49">
      <c r="B49" s="4" t="inlineStr">
        <is>
          <t>일부</t>
        </is>
      </c>
      <c r="C49" s="4" t="n">
        <v>3</v>
      </c>
    </row>
    <row r="50">
      <c r="B50" s="4" t="inlineStr">
        <is>
          <t>없음</t>
        </is>
      </c>
      <c r="C50" s="4" t="n">
        <v>0</v>
      </c>
    </row>
    <row r="51">
      <c r="B51" s="4" t="inlineStr">
        <is>
          <t>미상</t>
        </is>
      </c>
      <c r="C51" s="4" t="n">
        <v>0</v>
      </c>
    </row>
    <row r="53">
      <c r="B53" s="3" t="inlineStr">
        <is>
          <t>원료사</t>
        </is>
      </c>
    </row>
    <row r="54">
      <c r="B54" s="4" t="inlineStr">
        <is>
          <t>명시</t>
        </is>
      </c>
      <c r="C54" s="4" t="n">
        <v>4</v>
      </c>
    </row>
    <row r="55">
      <c r="B55" s="4" t="inlineStr">
        <is>
          <t>일부</t>
        </is>
      </c>
      <c r="C55" s="4" t="n">
        <v>2</v>
      </c>
    </row>
    <row r="56">
      <c r="B56" s="4" t="inlineStr">
        <is>
          <t>없음</t>
        </is>
      </c>
      <c r="C56" s="4" t="n">
        <v>0</v>
      </c>
    </row>
    <row r="57">
      <c r="B57" s="4" t="inlineStr">
        <is>
          <t>미상</t>
        </is>
      </c>
      <c r="C5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8" customWidth="1" min="18" max="18"/>
    <col width="8" customWidth="1" min="19" max="19"/>
    <col width="11" customWidth="1" min="20" max="20"/>
    <col width="10" customWidth="1" min="21" max="21"/>
    <col width="7" customWidth="1" min="22" max="22"/>
    <col width="9" customWidth="1" min="23" max="23"/>
    <col width="9" customWidth="1" min="24" max="24"/>
    <col width="9" customWidth="1" min="25" max="25"/>
    <col width="11" customWidth="1" min="26" max="26"/>
    <col width="9" customWidth="1" min="27" max="27"/>
    <col width="11" customWidth="1" min="28" max="28"/>
    <col width="44" customWidth="1" min="29" max="29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성분/35</t>
        </is>
      </c>
      <c r="S1" s="5" t="inlineStr">
        <is>
          <t>산패/30</t>
        </is>
      </c>
      <c r="T1" s="5" t="inlineStr">
        <is>
          <t>원료형태/20</t>
        </is>
      </c>
      <c r="U1" s="5" t="inlineStr">
        <is>
          <t>투명성/15</t>
        </is>
      </c>
      <c r="V1" s="5" t="inlineStr">
        <is>
          <t>합계</t>
        </is>
      </c>
      <c r="W1" s="5" t="inlineStr">
        <is>
          <t>안전상한</t>
        </is>
      </c>
      <c r="X1" s="5" t="inlineStr">
        <is>
          <t>최종점수</t>
        </is>
      </c>
      <c r="Y1" s="5" t="inlineStr">
        <is>
          <t>잠정순위</t>
        </is>
      </c>
      <c r="Z1" s="5" t="inlineStr">
        <is>
          <t>정보검증</t>
        </is>
      </c>
      <c r="AA1" s="5" t="inlineStr">
        <is>
          <t>적합성</t>
        </is>
      </c>
      <c r="AB1" s="5" t="inlineStr">
        <is>
          <t>데이터충실도</t>
        </is>
      </c>
      <c r="AC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8">
        <f>IF(NOT(ISNUMBER(D2)),0,IF(D2&gt;=300,20,IF(D2&gt;=200,15,IF(D2&gt;=100,10,5))))+IF(NOT(ISNUMBER(E2)),0,IF(E2&gt;=60,10,IF(E2&gt;=40,6,3)))+IFERROR(VLOOKUP(F2,기준!$B$4:$C$7,2,FALSE),0)</f>
        <v/>
      </c>
      <c r="S2" s="8">
        <f>IFERROR(VLOOKUP(I2,기준!$B$23:$C$25,2,FALSE),0)+IFERROR(VLOOKUP(J2,기준!$B$28:$C$31,2,FALSE),0)+IFERROR(VLOOKUP(K2,기준!$B$34:$C$40,2,FALSE),0)</f>
        <v/>
      </c>
      <c r="T2" s="8">
        <f>IFERROR(VLOOKUP(G2,기준!$B$10:$C$13,2,FALSE),0)+IFERROR(VLOOKUP(H2,기준!$B$16:$C$20,2,FALSE),0)</f>
        <v/>
      </c>
      <c r="U2" s="8">
        <f>IFERROR(VLOOKUP(L2,기준!$B$43:$C$45,2,FALSE),0)+IFERROR(VLOOKUP(M2,기준!$B$48:$C$51,2,FALSE),0)+IFERROR(VLOOKUP(N2,기준!$B$54:$C$57,2,FALSE),0)</f>
        <v/>
      </c>
      <c r="V2" s="8">
        <f>SUM(R2:U2)</f>
        <v/>
      </c>
      <c r="W2" s="8">
        <f>MIN(IF(O2="Y",20,100),IF(P2="Y",40,100),IF(Q2="Y",50,100))</f>
        <v/>
      </c>
      <c r="X2" s="8">
        <f>MIN(V2,W2)</f>
        <v/>
      </c>
      <c r="Y2" s="8">
        <f>RANK(X2,$X$2:$X$34,0)</f>
        <v/>
      </c>
      <c r="Z2" s="7" t="inlineStr">
        <is>
          <t>공개·검증</t>
        </is>
      </c>
      <c r="AA2" s="7" t="inlineStr">
        <is>
          <t>관절·신장(EPA우세)</t>
        </is>
      </c>
      <c r="AB2" s="6">
        <f>(IF(ISNUMBER(D2),1,0)+IF(ISNUMBER(E2),1,0)+IF(F2&lt;&gt;"미상",1,0)+IF(G2&lt;&gt;"미상",1,0)+IF(H2&lt;&gt;"미상",1,0)+IF(I2&lt;&gt;"미상",1,0)+IF(J2&lt;&gt;"미상",1,0)+IF(K2&lt;&gt;"미상",1,0)+IF(L2&lt;&gt;"미상",1,0)+IF(M2&lt;&gt;"미상",1,0)+IF(N2&lt;&gt;"미상",1,0))&amp;"/11"</f>
        <v/>
      </c>
      <c r="AC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8">
        <f>IF(NOT(ISNUMBER(D3)),0,IF(D3&gt;=300,20,IF(D3&gt;=200,15,IF(D3&gt;=100,10,5))))+IF(NOT(ISNUMBER(E3)),0,IF(E3&gt;=60,10,IF(E3&gt;=40,6,3)))+IFERROR(VLOOKUP(F3,기준!$B$4:$C$7,2,FALSE),0)</f>
        <v/>
      </c>
      <c r="S3" s="8">
        <f>IFERROR(VLOOKUP(I3,기준!$B$23:$C$25,2,FALSE),0)+IFERROR(VLOOKUP(J3,기준!$B$28:$C$31,2,FALSE),0)+IFERROR(VLOOKUP(K3,기준!$B$34:$C$40,2,FALSE),0)</f>
        <v/>
      </c>
      <c r="T3" s="8">
        <f>IFERROR(VLOOKUP(G3,기준!$B$10:$C$13,2,FALSE),0)+IFERROR(VLOOKUP(H3,기준!$B$16:$C$20,2,FALSE),0)</f>
        <v/>
      </c>
      <c r="U3" s="8">
        <f>IFERROR(VLOOKUP(L3,기준!$B$43:$C$45,2,FALSE),0)+IFERROR(VLOOKUP(M3,기준!$B$48:$C$51,2,FALSE),0)+IFERROR(VLOOKUP(N3,기준!$B$54:$C$57,2,FALSE),0)</f>
        <v/>
      </c>
      <c r="V3" s="8">
        <f>SUM(R3:U3)</f>
        <v/>
      </c>
      <c r="W3" s="8">
        <f>MIN(IF(O3="Y",20,100),IF(P3="Y",40,100),IF(Q3="Y",50,100))</f>
        <v/>
      </c>
      <c r="X3" s="8">
        <f>MIN(V3,W3)</f>
        <v/>
      </c>
      <c r="Y3" s="8">
        <f>RANK(X3,$X$2:$X$34,0)</f>
        <v/>
      </c>
      <c r="Z3" s="7" t="inlineStr">
        <is>
          <t>공개·검증</t>
        </is>
      </c>
      <c r="AA3" s="7" t="inlineStr">
        <is>
          <t>미정</t>
        </is>
      </c>
      <c r="AB3" s="6">
        <f>(IF(ISNUMBER(D3),1,0)+IF(ISNUMBER(E3),1,0)+IF(F3&lt;&gt;"미상",1,0)+IF(G3&lt;&gt;"미상",1,0)+IF(H3&lt;&gt;"미상",1,0)+IF(I3&lt;&gt;"미상",1,0)+IF(J3&lt;&gt;"미상",1,0)+IF(K3&lt;&gt;"미상",1,0)+IF(L3&lt;&gt;"미상",1,0)+IF(M3&lt;&gt;"미상",1,0)+IF(N3&lt;&gt;"미상",1,0))&amp;"/11"</f>
        <v/>
      </c>
      <c r="AC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8">
        <f>IF(NOT(ISNUMBER(D4)),0,IF(D4&gt;=300,20,IF(D4&gt;=200,15,IF(D4&gt;=100,10,5))))+IF(NOT(ISNUMBER(E4)),0,IF(E4&gt;=60,10,IF(E4&gt;=40,6,3)))+IFERROR(VLOOKUP(F4,기준!$B$4:$C$7,2,FALSE),0)</f>
        <v/>
      </c>
      <c r="S4" s="8">
        <f>IFERROR(VLOOKUP(I4,기준!$B$23:$C$25,2,FALSE),0)+IFERROR(VLOOKUP(J4,기준!$B$28:$C$31,2,FALSE),0)+IFERROR(VLOOKUP(K4,기준!$B$34:$C$40,2,FALSE),0)</f>
        <v/>
      </c>
      <c r="T4" s="8">
        <f>IFERROR(VLOOKUP(G4,기준!$B$10:$C$13,2,FALSE),0)+IFERROR(VLOOKUP(H4,기준!$B$16:$C$20,2,FALSE),0)</f>
        <v/>
      </c>
      <c r="U4" s="8">
        <f>IFERROR(VLOOKUP(L4,기준!$B$43:$C$45,2,FALSE),0)+IFERROR(VLOOKUP(M4,기준!$B$48:$C$51,2,FALSE),0)+IFERROR(VLOOKUP(N4,기준!$B$54:$C$57,2,FALSE),0)</f>
        <v/>
      </c>
      <c r="V4" s="8">
        <f>SUM(R4:U4)</f>
        <v/>
      </c>
      <c r="W4" s="8">
        <f>MIN(IF(O4="Y",20,100),IF(P4="Y",40,100),IF(Q4="Y",50,100))</f>
        <v/>
      </c>
      <c r="X4" s="8">
        <f>MIN(V4,W4)</f>
        <v/>
      </c>
      <c r="Y4" s="8">
        <f>RANK(X4,$X$2:$X$34,0)</f>
        <v/>
      </c>
      <c r="Z4" s="7" t="inlineStr">
        <is>
          <t>공개·검증</t>
        </is>
      </c>
      <c r="AA4" s="7" t="inlineStr">
        <is>
          <t>일반유지·피부(아스타잔틴)</t>
        </is>
      </c>
      <c r="AB4" s="6">
        <f>(IF(ISNUMBER(D4),1,0)+IF(ISNUMBER(E4),1,0)+IF(F4&lt;&gt;"미상",1,0)+IF(G4&lt;&gt;"미상",1,0)+IF(H4&lt;&gt;"미상",1,0)+IF(I4&lt;&gt;"미상",1,0)+IF(J4&lt;&gt;"미상",1,0)+IF(K4&lt;&gt;"미상",1,0)+IF(L4&lt;&gt;"미상",1,0)+IF(M4&lt;&gt;"미상",1,0)+IF(N4&lt;&gt;"미상",1,0))&amp;"/11"</f>
        <v/>
      </c>
      <c r="AC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8">
        <f>IF(NOT(ISNUMBER(D5)),0,IF(D5&gt;=300,20,IF(D5&gt;=200,15,IF(D5&gt;=100,10,5))))+IF(NOT(ISNUMBER(E5)),0,IF(E5&gt;=60,10,IF(E5&gt;=40,6,3)))+IFERROR(VLOOKUP(F5,기준!$B$4:$C$7,2,FALSE),0)</f>
        <v/>
      </c>
      <c r="S5" s="8">
        <f>IFERROR(VLOOKUP(I5,기준!$B$23:$C$25,2,FALSE),0)+IFERROR(VLOOKUP(J5,기준!$B$28:$C$31,2,FALSE),0)+IFERROR(VLOOKUP(K5,기준!$B$34:$C$40,2,FALSE),0)</f>
        <v/>
      </c>
      <c r="T5" s="8">
        <f>IFERROR(VLOOKUP(G5,기준!$B$10:$C$13,2,FALSE),0)+IFERROR(VLOOKUP(H5,기준!$B$16:$C$20,2,FALSE),0)</f>
        <v/>
      </c>
      <c r="U5" s="8">
        <f>IFERROR(VLOOKUP(L5,기준!$B$43:$C$45,2,FALSE),0)+IFERROR(VLOOKUP(M5,기준!$B$48:$C$51,2,FALSE),0)+IFERROR(VLOOKUP(N5,기준!$B$54:$C$57,2,FALSE),0)</f>
        <v/>
      </c>
      <c r="V5" s="8">
        <f>SUM(R5:U5)</f>
        <v/>
      </c>
      <c r="W5" s="8">
        <f>MIN(IF(O5="Y",20,100),IF(P5="Y",40,100),IF(Q5="Y",50,100))</f>
        <v/>
      </c>
      <c r="X5" s="8">
        <f>MIN(V5,W5)</f>
        <v/>
      </c>
      <c r="Y5" s="8">
        <f>RANK(X5,$X$2:$X$34,0)</f>
        <v/>
      </c>
      <c r="Z5" s="7" t="inlineStr">
        <is>
          <t>공개·검증</t>
        </is>
      </c>
      <c r="AA5" s="7" t="inlineStr">
        <is>
          <t>일반유지(EPA 2:1)</t>
        </is>
      </c>
      <c r="AB5" s="6">
        <f>(IF(ISNUMBER(D5),1,0)+IF(ISNUMBER(E5),1,0)+IF(F5&lt;&gt;"미상",1,0)+IF(G5&lt;&gt;"미상",1,0)+IF(H5&lt;&gt;"미상",1,0)+IF(I5&lt;&gt;"미상",1,0)+IF(J5&lt;&gt;"미상",1,0)+IF(K5&lt;&gt;"미상",1,0)+IF(L5&lt;&gt;"미상",1,0)+IF(M5&lt;&gt;"미상",1,0)+IF(N5&lt;&gt;"미상",1,0))&amp;"/11"</f>
        <v/>
      </c>
      <c r="AC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8">
        <f>IF(NOT(ISNUMBER(D6)),0,IF(D6&gt;=300,20,IF(D6&gt;=200,15,IF(D6&gt;=100,10,5))))+IF(NOT(ISNUMBER(E6)),0,IF(E6&gt;=60,10,IF(E6&gt;=40,6,3)))+IFERROR(VLOOKUP(F6,기준!$B$4:$C$7,2,FALSE),0)</f>
        <v/>
      </c>
      <c r="S6" s="8">
        <f>IFERROR(VLOOKUP(I6,기준!$B$23:$C$25,2,FALSE),0)+IFERROR(VLOOKUP(J6,기준!$B$28:$C$31,2,FALSE),0)+IFERROR(VLOOKUP(K6,기준!$B$34:$C$40,2,FALSE),0)</f>
        <v/>
      </c>
      <c r="T6" s="8">
        <f>IFERROR(VLOOKUP(G6,기준!$B$10:$C$13,2,FALSE),0)+IFERROR(VLOOKUP(H6,기준!$B$16:$C$20,2,FALSE),0)</f>
        <v/>
      </c>
      <c r="U6" s="8">
        <f>IFERROR(VLOOKUP(L6,기준!$B$43:$C$45,2,FALSE),0)+IFERROR(VLOOKUP(M6,기준!$B$48:$C$51,2,FALSE),0)+IFERROR(VLOOKUP(N6,기준!$B$54:$C$57,2,FALSE),0)</f>
        <v/>
      </c>
      <c r="V6" s="8">
        <f>SUM(R6:U6)</f>
        <v/>
      </c>
      <c r="W6" s="8">
        <f>MIN(IF(O6="Y",20,100),IF(P6="Y",40,100),IF(Q6="Y",50,100))</f>
        <v/>
      </c>
      <c r="X6" s="8">
        <f>MIN(V6,W6)</f>
        <v/>
      </c>
      <c r="Y6" s="8">
        <f>RANK(X6,$X$2:$X$34,0)</f>
        <v/>
      </c>
      <c r="Z6" s="7" t="inlineStr">
        <is>
          <t>공개·검증</t>
        </is>
      </c>
      <c r="AA6" s="7" t="inlineStr">
        <is>
          <t>관절·신장(EPA우세)</t>
        </is>
      </c>
      <c r="AB6" s="6">
        <f>(IF(ISNUMBER(D6),1,0)+IF(ISNUMBER(E6),1,0)+IF(F6&lt;&gt;"미상",1,0)+IF(G6&lt;&gt;"미상",1,0)+IF(H6&lt;&gt;"미상",1,0)+IF(I6&lt;&gt;"미상",1,0)+IF(J6&lt;&gt;"미상",1,0)+IF(K6&lt;&gt;"미상",1,0)+IF(L6&lt;&gt;"미상",1,0)+IF(M6&lt;&gt;"미상",1,0)+IF(N6&lt;&gt;"미상",1,0))&amp;"/11"</f>
        <v/>
      </c>
      <c r="AC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8">
        <f>IF(NOT(ISNUMBER(D7)),0,IF(D7&gt;=300,20,IF(D7&gt;=200,15,IF(D7&gt;=100,10,5))))+IF(NOT(ISNUMBER(E7)),0,IF(E7&gt;=60,10,IF(E7&gt;=40,6,3)))+IFERROR(VLOOKUP(F7,기준!$B$4:$C$7,2,FALSE),0)</f>
        <v/>
      </c>
      <c r="S7" s="8">
        <f>IFERROR(VLOOKUP(I7,기준!$B$23:$C$25,2,FALSE),0)+IFERROR(VLOOKUP(J7,기준!$B$28:$C$31,2,FALSE),0)+IFERROR(VLOOKUP(K7,기준!$B$34:$C$40,2,FALSE),0)</f>
        <v/>
      </c>
      <c r="T7" s="8">
        <f>IFERROR(VLOOKUP(G7,기준!$B$10:$C$13,2,FALSE),0)+IFERROR(VLOOKUP(H7,기준!$B$16:$C$20,2,FALSE),0)</f>
        <v/>
      </c>
      <c r="U7" s="8">
        <f>IFERROR(VLOOKUP(L7,기준!$B$43:$C$45,2,FALSE),0)+IFERROR(VLOOKUP(M7,기준!$B$48:$C$51,2,FALSE),0)+IFERROR(VLOOKUP(N7,기준!$B$54:$C$57,2,FALSE),0)</f>
        <v/>
      </c>
      <c r="V7" s="8">
        <f>SUM(R7:U7)</f>
        <v/>
      </c>
      <c r="W7" s="8">
        <f>MIN(IF(O7="Y",20,100),IF(P7="Y",40,100),IF(Q7="Y",50,100))</f>
        <v/>
      </c>
      <c r="X7" s="8">
        <f>MIN(V7,W7)</f>
        <v/>
      </c>
      <c r="Y7" s="8">
        <f>RANK(X7,$X$2:$X$34,0)</f>
        <v/>
      </c>
      <c r="Z7" s="7" t="inlineStr">
        <is>
          <t>공개·검증</t>
        </is>
      </c>
      <c r="AA7" s="7" t="inlineStr">
        <is>
          <t>미정</t>
        </is>
      </c>
      <c r="AB7" s="6">
        <f>(IF(ISNUMBER(D7),1,0)+IF(ISNUMBER(E7),1,0)+IF(F7&lt;&gt;"미상",1,0)+IF(G7&lt;&gt;"미상",1,0)+IF(H7&lt;&gt;"미상",1,0)+IF(I7&lt;&gt;"미상",1,0)+IF(J7&lt;&gt;"미상",1,0)+IF(K7&lt;&gt;"미상",1,0)+IF(L7&lt;&gt;"미상",1,0)+IF(M7&lt;&gt;"미상",1,0)+IF(N7&lt;&gt;"미상",1,0))&amp;"/11"</f>
        <v/>
      </c>
      <c r="AC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8">
        <f>IF(NOT(ISNUMBER(D8)),0,IF(D8&gt;=300,20,IF(D8&gt;=200,15,IF(D8&gt;=100,10,5))))+IF(NOT(ISNUMBER(E8)),0,IF(E8&gt;=60,10,IF(E8&gt;=40,6,3)))+IFERROR(VLOOKUP(F8,기준!$B$4:$C$7,2,FALSE),0)</f>
        <v/>
      </c>
      <c r="S8" s="8">
        <f>IFERROR(VLOOKUP(I8,기준!$B$23:$C$25,2,FALSE),0)+IFERROR(VLOOKUP(J8,기준!$B$28:$C$31,2,FALSE),0)+IFERROR(VLOOKUP(K8,기준!$B$34:$C$40,2,FALSE),0)</f>
        <v/>
      </c>
      <c r="T8" s="8">
        <f>IFERROR(VLOOKUP(G8,기준!$B$10:$C$13,2,FALSE),0)+IFERROR(VLOOKUP(H8,기준!$B$16:$C$20,2,FALSE),0)</f>
        <v/>
      </c>
      <c r="U8" s="8">
        <f>IFERROR(VLOOKUP(L8,기준!$B$43:$C$45,2,FALSE),0)+IFERROR(VLOOKUP(M8,기준!$B$48:$C$51,2,FALSE),0)+IFERROR(VLOOKUP(N8,기준!$B$54:$C$57,2,FALSE),0)</f>
        <v/>
      </c>
      <c r="V8" s="8">
        <f>SUM(R8:U8)</f>
        <v/>
      </c>
      <c r="W8" s="8">
        <f>MIN(IF(O8="Y",20,100),IF(P8="Y",40,100),IF(Q8="Y",50,100))</f>
        <v/>
      </c>
      <c r="X8" s="8">
        <f>MIN(V8,W8)</f>
        <v/>
      </c>
      <c r="Y8" s="8">
        <f>RANK(X8,$X$2:$X$34,0)</f>
        <v/>
      </c>
      <c r="Z8" s="7" t="inlineStr">
        <is>
          <t>미상</t>
        </is>
      </c>
      <c r="AA8" s="7" t="inlineStr">
        <is>
          <t>미정</t>
        </is>
      </c>
      <c r="AB8" s="6">
        <f>(IF(ISNUMBER(D8),1,0)+IF(ISNUMBER(E8),1,0)+IF(F8&lt;&gt;"미상",1,0)+IF(G8&lt;&gt;"미상",1,0)+IF(H8&lt;&gt;"미상",1,0)+IF(I8&lt;&gt;"미상",1,0)+IF(J8&lt;&gt;"미상",1,0)+IF(K8&lt;&gt;"미상",1,0)+IF(L8&lt;&gt;"미상",1,0)+IF(M8&lt;&gt;"미상",1,0)+IF(N8&lt;&gt;"미상",1,0))&amp;"/11"</f>
        <v/>
      </c>
      <c r="AC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8">
        <f>IF(NOT(ISNUMBER(D9)),0,IF(D9&gt;=300,20,IF(D9&gt;=200,15,IF(D9&gt;=100,10,5))))+IF(NOT(ISNUMBER(E9)),0,IF(E9&gt;=60,10,IF(E9&gt;=40,6,3)))+IFERROR(VLOOKUP(F9,기준!$B$4:$C$7,2,FALSE),0)</f>
        <v/>
      </c>
      <c r="S9" s="8">
        <f>IFERROR(VLOOKUP(I9,기준!$B$23:$C$25,2,FALSE),0)+IFERROR(VLOOKUP(J9,기준!$B$28:$C$31,2,FALSE),0)+IFERROR(VLOOKUP(K9,기준!$B$34:$C$40,2,FALSE),0)</f>
        <v/>
      </c>
      <c r="T9" s="8">
        <f>IFERROR(VLOOKUP(G9,기준!$B$10:$C$13,2,FALSE),0)+IFERROR(VLOOKUP(H9,기준!$B$16:$C$20,2,FALSE),0)</f>
        <v/>
      </c>
      <c r="U9" s="8">
        <f>IFERROR(VLOOKUP(L9,기준!$B$43:$C$45,2,FALSE),0)+IFERROR(VLOOKUP(M9,기준!$B$48:$C$51,2,FALSE),0)+IFERROR(VLOOKUP(N9,기준!$B$54:$C$57,2,FALSE),0)</f>
        <v/>
      </c>
      <c r="V9" s="8">
        <f>SUM(R9:U9)</f>
        <v/>
      </c>
      <c r="W9" s="8">
        <f>MIN(IF(O9="Y",20,100),IF(P9="Y",40,100),IF(Q9="Y",50,100))</f>
        <v/>
      </c>
      <c r="X9" s="8">
        <f>MIN(V9,W9)</f>
        <v/>
      </c>
      <c r="Y9" s="8">
        <f>RANK(X9,$X$2:$X$34,0)</f>
        <v/>
      </c>
      <c r="Z9" s="7" t="inlineStr">
        <is>
          <t>미상</t>
        </is>
      </c>
      <c r="AA9" s="7" t="inlineStr">
        <is>
          <t>미정</t>
        </is>
      </c>
      <c r="AB9" s="6">
        <f>(IF(ISNUMBER(D9),1,0)+IF(ISNUMBER(E9),1,0)+IF(F9&lt;&gt;"미상",1,0)+IF(G9&lt;&gt;"미상",1,0)+IF(H9&lt;&gt;"미상",1,0)+IF(I9&lt;&gt;"미상",1,0)+IF(J9&lt;&gt;"미상",1,0)+IF(K9&lt;&gt;"미상",1,0)+IF(L9&lt;&gt;"미상",1,0)+IF(M9&lt;&gt;"미상",1,0)+IF(N9&lt;&gt;"미상",1,0))&amp;"/11"</f>
        <v/>
      </c>
      <c r="AC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펫·캡슐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미상</t>
        </is>
      </c>
      <c r="I10" s="7" t="inlineStr">
        <is>
          <t>미상</t>
        </is>
      </c>
      <c r="J10" s="7" t="inlineStr">
        <is>
          <t>미상</t>
        </is>
      </c>
      <c r="K10" s="7" t="inlineStr">
        <is>
          <t>미상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미상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8">
        <f>IF(NOT(ISNUMBER(D10)),0,IF(D10&gt;=300,20,IF(D10&gt;=200,15,IF(D10&gt;=100,10,5))))+IF(NOT(ISNUMBER(E10)),0,IF(E10&gt;=60,10,IF(E10&gt;=40,6,3)))+IFERROR(VLOOKUP(F10,기준!$B$4:$C$7,2,FALSE),0)</f>
        <v/>
      </c>
      <c r="S10" s="8">
        <f>IFERROR(VLOOKUP(I10,기준!$B$23:$C$25,2,FALSE),0)+IFERROR(VLOOKUP(J10,기준!$B$28:$C$31,2,FALSE),0)+IFERROR(VLOOKUP(K10,기준!$B$34:$C$40,2,FALSE),0)</f>
        <v/>
      </c>
      <c r="T10" s="8">
        <f>IFERROR(VLOOKUP(G10,기준!$B$10:$C$13,2,FALSE),0)+IFERROR(VLOOKUP(H10,기준!$B$16:$C$20,2,FALSE),0)</f>
        <v/>
      </c>
      <c r="U10" s="8">
        <f>IFERROR(VLOOKUP(L10,기준!$B$43:$C$45,2,FALSE),0)+IFERROR(VLOOKUP(M10,기준!$B$48:$C$51,2,FALSE),0)+IFERROR(VLOOKUP(N10,기준!$B$54:$C$57,2,FALSE),0)</f>
        <v/>
      </c>
      <c r="V10" s="8">
        <f>SUM(R10:U10)</f>
        <v/>
      </c>
      <c r="W10" s="8">
        <f>MIN(IF(O10="Y",20,100),IF(P10="Y",40,100),IF(Q10="Y",50,100))</f>
        <v/>
      </c>
      <c r="X10" s="8">
        <f>MIN(V10,W10)</f>
        <v/>
      </c>
      <c r="Y10" s="8">
        <f>RANK(X10,$X$2:$X$34,0)</f>
        <v/>
      </c>
      <c r="Z10" s="7" t="inlineStr">
        <is>
          <t>미상</t>
        </is>
      </c>
      <c r="AA10" s="7" t="inlineStr">
        <is>
          <t>미정</t>
        </is>
      </c>
      <c r="AB10" s="6">
        <f>(IF(ISNUMBER(D10),1,0)+IF(ISNUMBER(E10),1,0)+IF(F10&lt;&gt;"미상",1,0)+IF(G10&lt;&gt;"미상",1,0)+IF(H10&lt;&gt;"미상",1,0)+IF(I10&lt;&gt;"미상",1,0)+IF(J10&lt;&gt;"미상",1,0)+IF(K10&lt;&gt;"미상",1,0)+IF(L10&lt;&gt;"미상",1,0)+IF(M10&lt;&gt;"미상",1,0)+IF(N10&lt;&gt;"미상",1,0))&amp;"/11"</f>
        <v/>
      </c>
      <c r="AC10" s="6" t="inlineStr">
        <is>
          <t>스펙 수집중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</t>
        </is>
      </c>
      <c r="D11" s="7" t="n"/>
      <c r="E11" s="7" t="n"/>
      <c r="F11" s="7" t="inlineStr">
        <is>
          <t>미상</t>
        </is>
      </c>
      <c r="G11" s="7" t="inlineStr">
        <is>
          <t>미상</t>
        </is>
      </c>
      <c r="H11" s="7" t="inlineStr">
        <is>
          <t>미상</t>
        </is>
      </c>
      <c r="I11" s="7" t="inlineStr">
        <is>
          <t>미상</t>
        </is>
      </c>
      <c r="J11" s="7" t="inlineStr">
        <is>
          <t>미상</t>
        </is>
      </c>
      <c r="K11" s="7" t="inlineStr">
        <is>
          <t>미상</t>
        </is>
      </c>
      <c r="L11" s="7" t="inlineStr">
        <is>
          <t>미상</t>
        </is>
      </c>
      <c r="M11" s="7" t="inlineStr">
        <is>
          <t>미상</t>
        </is>
      </c>
      <c r="N11" s="7" t="inlineStr">
        <is>
          <t>미상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8">
        <f>IF(NOT(ISNUMBER(D11)),0,IF(D11&gt;=300,20,IF(D11&gt;=200,15,IF(D11&gt;=100,10,5))))+IF(NOT(ISNUMBER(E11)),0,IF(E11&gt;=60,10,IF(E11&gt;=40,6,3)))+IFERROR(VLOOKUP(F11,기준!$B$4:$C$7,2,FALSE),0)</f>
        <v/>
      </c>
      <c r="S11" s="8">
        <f>IFERROR(VLOOKUP(I11,기준!$B$23:$C$25,2,FALSE),0)+IFERROR(VLOOKUP(J11,기준!$B$28:$C$31,2,FALSE),0)+IFERROR(VLOOKUP(K11,기준!$B$34:$C$40,2,FALSE),0)</f>
        <v/>
      </c>
      <c r="T11" s="8">
        <f>IFERROR(VLOOKUP(G11,기준!$B$10:$C$13,2,FALSE),0)+IFERROR(VLOOKUP(H11,기준!$B$16:$C$20,2,FALSE),0)</f>
        <v/>
      </c>
      <c r="U11" s="8">
        <f>IFERROR(VLOOKUP(L11,기준!$B$43:$C$45,2,FALSE),0)+IFERROR(VLOOKUP(M11,기준!$B$48:$C$51,2,FALSE),0)+IFERROR(VLOOKUP(N11,기준!$B$54:$C$57,2,FALSE),0)</f>
        <v/>
      </c>
      <c r="V11" s="8">
        <f>SUM(R11:U11)</f>
        <v/>
      </c>
      <c r="W11" s="8">
        <f>MIN(IF(O11="Y",20,100),IF(P11="Y",40,100),IF(Q11="Y",50,100))</f>
        <v/>
      </c>
      <c r="X11" s="8">
        <f>MIN(V11,W11)</f>
        <v/>
      </c>
      <c r="Y11" s="8">
        <f>RANK(X11,$X$2:$X$34,0)</f>
        <v/>
      </c>
      <c r="Z11" s="7" t="inlineStr">
        <is>
          <t>미상</t>
        </is>
      </c>
      <c r="AA11" s="7" t="inlineStr">
        <is>
          <t>미정</t>
        </is>
      </c>
      <c r="AB11" s="6">
        <f>(IF(ISNUMBER(D11),1,0)+IF(ISNUMBER(E11),1,0)+IF(F11&lt;&gt;"미상",1,0)+IF(G11&lt;&gt;"미상",1,0)+IF(H11&lt;&gt;"미상",1,0)+IF(I11&lt;&gt;"미상",1,0)+IF(J11&lt;&gt;"미상",1,0)+IF(K11&lt;&gt;"미상",1,0)+IF(L11&lt;&gt;"미상",1,0)+IF(M11&lt;&gt;"미상",1,0)+IF(N11&lt;&gt;"미상",1,0))&amp;"/11"</f>
        <v/>
      </c>
      <c r="AC11" s="6" t="inlineStr">
        <is>
          <t>스펙 수집중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8">
        <f>IF(NOT(ISNUMBER(D12)),0,IF(D12&gt;=300,20,IF(D12&gt;=200,15,IF(D12&gt;=100,10,5))))+IF(NOT(ISNUMBER(E12)),0,IF(E12&gt;=60,10,IF(E12&gt;=40,6,3)))+IFERROR(VLOOKUP(F12,기준!$B$4:$C$7,2,FALSE),0)</f>
        <v/>
      </c>
      <c r="S12" s="8">
        <f>IFERROR(VLOOKUP(I12,기준!$B$23:$C$25,2,FALSE),0)+IFERROR(VLOOKUP(J12,기준!$B$28:$C$31,2,FALSE),0)+IFERROR(VLOOKUP(K12,기준!$B$34:$C$40,2,FALSE),0)</f>
        <v/>
      </c>
      <c r="T12" s="8">
        <f>IFERROR(VLOOKUP(G12,기준!$B$10:$C$13,2,FALSE),0)+IFERROR(VLOOKUP(H12,기준!$B$16:$C$20,2,FALSE),0)</f>
        <v/>
      </c>
      <c r="U12" s="8">
        <f>IFERROR(VLOOKUP(L12,기준!$B$43:$C$45,2,FALSE),0)+IFERROR(VLOOKUP(M12,기준!$B$48:$C$51,2,FALSE),0)+IFERROR(VLOOKUP(N12,기준!$B$54:$C$57,2,FALSE),0)</f>
        <v/>
      </c>
      <c r="V12" s="8">
        <f>SUM(R12:U12)</f>
        <v/>
      </c>
      <c r="W12" s="8">
        <f>MIN(IF(O12="Y",20,100),IF(P12="Y",40,100),IF(Q12="Y",50,100))</f>
        <v/>
      </c>
      <c r="X12" s="8">
        <f>MIN(V12,W12)</f>
        <v/>
      </c>
      <c r="Y12" s="8">
        <f>RANK(X12,$X$2:$X$34,0)</f>
        <v/>
      </c>
      <c r="Z12" s="7" t="inlineStr">
        <is>
          <t>미상</t>
        </is>
      </c>
      <c r="AA12" s="7" t="inlineStr">
        <is>
          <t>미정</t>
        </is>
      </c>
      <c r="AB12" s="6">
        <f>(IF(ISNUMBER(D12),1,0)+IF(ISNUMBER(E12),1,0)+IF(F12&lt;&gt;"미상",1,0)+IF(G12&lt;&gt;"미상",1,0)+IF(H12&lt;&gt;"미상",1,0)+IF(I12&lt;&gt;"미상",1,0)+IF(J12&lt;&gt;"미상",1,0)+IF(K12&lt;&gt;"미상",1,0)+IF(L12&lt;&gt;"미상",1,0)+IF(M12&lt;&gt;"미상",1,0)+IF(N12&lt;&gt;"미상",1,0))&amp;"/11"</f>
        <v/>
      </c>
      <c r="AC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8">
        <f>IF(NOT(ISNUMBER(D13)),0,IF(D13&gt;=300,20,IF(D13&gt;=200,15,IF(D13&gt;=100,10,5))))+IF(NOT(ISNUMBER(E13)),0,IF(E13&gt;=60,10,IF(E13&gt;=40,6,3)))+IFERROR(VLOOKUP(F13,기준!$B$4:$C$7,2,FALSE),0)</f>
        <v/>
      </c>
      <c r="S13" s="8">
        <f>IFERROR(VLOOKUP(I13,기준!$B$23:$C$25,2,FALSE),0)+IFERROR(VLOOKUP(J13,기준!$B$28:$C$31,2,FALSE),0)+IFERROR(VLOOKUP(K13,기준!$B$34:$C$40,2,FALSE),0)</f>
        <v/>
      </c>
      <c r="T13" s="8">
        <f>IFERROR(VLOOKUP(G13,기준!$B$10:$C$13,2,FALSE),0)+IFERROR(VLOOKUP(H13,기준!$B$16:$C$20,2,FALSE),0)</f>
        <v/>
      </c>
      <c r="U13" s="8">
        <f>IFERROR(VLOOKUP(L13,기준!$B$43:$C$45,2,FALSE),0)+IFERROR(VLOOKUP(M13,기준!$B$48:$C$51,2,FALSE),0)+IFERROR(VLOOKUP(N13,기준!$B$54:$C$57,2,FALSE),0)</f>
        <v/>
      </c>
      <c r="V13" s="8">
        <f>SUM(R13:U13)</f>
        <v/>
      </c>
      <c r="W13" s="8">
        <f>MIN(IF(O13="Y",20,100),IF(P13="Y",40,100),IF(Q13="Y",50,100))</f>
        <v/>
      </c>
      <c r="X13" s="8">
        <f>MIN(V13,W13)</f>
        <v/>
      </c>
      <c r="Y13" s="8">
        <f>RANK(X13,$X$2:$X$34,0)</f>
        <v/>
      </c>
      <c r="Z13" s="7" t="inlineStr">
        <is>
          <t>미상</t>
        </is>
      </c>
      <c r="AA13" s="7" t="inlineStr">
        <is>
          <t>미정</t>
        </is>
      </c>
      <c r="AB13" s="6">
        <f>(IF(ISNUMBER(D13),1,0)+IF(ISNUMBER(E13),1,0)+IF(F13&lt;&gt;"미상",1,0)+IF(G13&lt;&gt;"미상",1,0)+IF(H13&lt;&gt;"미상",1,0)+IF(I13&lt;&gt;"미상",1,0)+IF(J13&lt;&gt;"미상",1,0)+IF(K13&lt;&gt;"미상",1,0)+IF(L13&lt;&gt;"미상",1,0)+IF(M13&lt;&gt;"미상",1,0)+IF(N13&lt;&gt;"미상",1,0))&amp;"/11"</f>
        <v/>
      </c>
      <c r="AC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/>
      <c r="E14" s="7" t="n"/>
      <c r="F14" s="7" t="inlineStr">
        <is>
          <t>미상</t>
        </is>
      </c>
      <c r="G14" s="7" t="inlineStr">
        <is>
          <t>미상</t>
        </is>
      </c>
      <c r="H14" s="7" t="inlineStr">
        <is>
          <t>미상</t>
        </is>
      </c>
      <c r="I14" s="7" t="inlineStr">
        <is>
          <t>미상</t>
        </is>
      </c>
      <c r="J14" s="7" t="inlineStr">
        <is>
          <t>미상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8">
        <f>IF(NOT(ISNUMBER(D14)),0,IF(D14&gt;=300,20,IF(D14&gt;=200,15,IF(D14&gt;=100,10,5))))+IF(NOT(ISNUMBER(E14)),0,IF(E14&gt;=60,10,IF(E14&gt;=40,6,3)))+IFERROR(VLOOKUP(F14,기준!$B$4:$C$7,2,FALSE),0)</f>
        <v/>
      </c>
      <c r="S14" s="8">
        <f>IFERROR(VLOOKUP(I14,기준!$B$23:$C$25,2,FALSE),0)+IFERROR(VLOOKUP(J14,기준!$B$28:$C$31,2,FALSE),0)+IFERROR(VLOOKUP(K14,기준!$B$34:$C$40,2,FALSE),0)</f>
        <v/>
      </c>
      <c r="T14" s="8">
        <f>IFERROR(VLOOKUP(G14,기준!$B$10:$C$13,2,FALSE),0)+IFERROR(VLOOKUP(H14,기준!$B$16:$C$20,2,FALSE),0)</f>
        <v/>
      </c>
      <c r="U14" s="8">
        <f>IFERROR(VLOOKUP(L14,기준!$B$43:$C$45,2,FALSE),0)+IFERROR(VLOOKUP(M14,기준!$B$48:$C$51,2,FALSE),0)+IFERROR(VLOOKUP(N14,기준!$B$54:$C$57,2,FALSE),0)</f>
        <v/>
      </c>
      <c r="V14" s="8">
        <f>SUM(R14:U14)</f>
        <v/>
      </c>
      <c r="W14" s="8">
        <f>MIN(IF(O14="Y",20,100),IF(P14="Y",40,100),IF(Q14="Y",50,100))</f>
        <v/>
      </c>
      <c r="X14" s="8">
        <f>MIN(V14,W14)</f>
        <v/>
      </c>
      <c r="Y14" s="8">
        <f>RANK(X14,$X$2:$X$34,0)</f>
        <v/>
      </c>
      <c r="Z14" s="7" t="inlineStr">
        <is>
          <t>라벨만</t>
        </is>
      </c>
      <c r="AA14" s="7" t="inlineStr">
        <is>
          <t>미정</t>
        </is>
      </c>
      <c r="AB14" s="6">
        <f>(IF(ISNUMBER(D14),1,0)+IF(ISNUMBER(E14),1,0)+IF(F14&lt;&gt;"미상",1,0)+IF(G14&lt;&gt;"미상",1,0)+IF(H14&lt;&gt;"미상",1,0)+IF(I14&lt;&gt;"미상",1,0)+IF(J14&lt;&gt;"미상",1,0)+IF(K14&lt;&gt;"미상",1,0)+IF(L14&lt;&gt;"미상",1,0)+IF(M14&lt;&gt;"미상",1,0)+IF(N14&lt;&gt;"미상",1,0))&amp;"/11"</f>
        <v/>
      </c>
      <c r="AC14" s="6" t="inlineStr">
        <is>
          <t>수의사 설계 스틱·초고함량 표방·수치 미상 (이퀄)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8">
        <f>IF(NOT(ISNUMBER(D15)),0,IF(D15&gt;=300,20,IF(D15&gt;=200,15,IF(D15&gt;=100,10,5))))+IF(NOT(ISNUMBER(E15)),0,IF(E15&gt;=60,10,IF(E15&gt;=40,6,3)))+IFERROR(VLOOKUP(F15,기준!$B$4:$C$7,2,FALSE),0)</f>
        <v/>
      </c>
      <c r="S15" s="8">
        <f>IFERROR(VLOOKUP(I15,기준!$B$23:$C$25,2,FALSE),0)+IFERROR(VLOOKUP(J15,기준!$B$28:$C$31,2,FALSE),0)+IFERROR(VLOOKUP(K15,기준!$B$34:$C$40,2,FALSE),0)</f>
        <v/>
      </c>
      <c r="T15" s="8">
        <f>IFERROR(VLOOKUP(G15,기준!$B$10:$C$13,2,FALSE),0)+IFERROR(VLOOKUP(H15,기준!$B$16:$C$20,2,FALSE),0)</f>
        <v/>
      </c>
      <c r="U15" s="8">
        <f>IFERROR(VLOOKUP(L15,기준!$B$43:$C$45,2,FALSE),0)+IFERROR(VLOOKUP(M15,기준!$B$48:$C$51,2,FALSE),0)+IFERROR(VLOOKUP(N15,기준!$B$54:$C$57,2,FALSE),0)</f>
        <v/>
      </c>
      <c r="V15" s="8">
        <f>SUM(R15:U15)</f>
        <v/>
      </c>
      <c r="W15" s="8">
        <f>MIN(IF(O15="Y",20,100),IF(P15="Y",40,100),IF(Q15="Y",50,100))</f>
        <v/>
      </c>
      <c r="X15" s="8">
        <f>MIN(V15,W15)</f>
        <v/>
      </c>
      <c r="Y15" s="8">
        <f>RANK(X15,$X$2:$X$34,0)</f>
        <v/>
      </c>
      <c r="Z15" s="7" t="inlineStr">
        <is>
          <t>라벨만</t>
        </is>
      </c>
      <c r="AA15" s="7" t="inlineStr">
        <is>
          <t>미정</t>
        </is>
      </c>
      <c r="AB15" s="6">
        <f>(IF(ISNUMBER(D15),1,0)+IF(ISNUMBER(E15),1,0)+IF(F15&lt;&gt;"미상",1,0)+IF(G15&lt;&gt;"미상",1,0)+IF(H15&lt;&gt;"미상",1,0)+IF(I15&lt;&gt;"미상",1,0)+IF(J15&lt;&gt;"미상",1,0)+IF(K15&lt;&gt;"미상",1,0)+IF(L15&lt;&gt;"미상",1,0)+IF(M15&lt;&gt;"미상",1,0)+IF(N15&lt;&gt;"미상",1,0))&amp;"/11"</f>
        <v/>
      </c>
      <c r="AC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/>
      <c r="E16" s="7" t="n"/>
      <c r="F16" s="7" t="inlineStr">
        <is>
          <t>미상</t>
        </is>
      </c>
      <c r="G16" s="7" t="inlineStr">
        <is>
          <t>미상</t>
        </is>
      </c>
      <c r="H16" s="7" t="inlineStr">
        <is>
          <t>미상</t>
        </is>
      </c>
      <c r="I16" s="7" t="inlineStr">
        <is>
          <t>미상</t>
        </is>
      </c>
      <c r="J16" s="7" t="inlineStr">
        <is>
          <t>미상</t>
        </is>
      </c>
      <c r="K16" s="7" t="inlineStr">
        <is>
          <t>미상</t>
        </is>
      </c>
      <c r="L16" s="7" t="inlineStr">
        <is>
          <t>미상</t>
        </is>
      </c>
      <c r="M16" s="7" t="inlineStr">
        <is>
          <t>미상</t>
        </is>
      </c>
      <c r="N16" s="7" t="inlineStr">
        <is>
          <t>미상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8">
        <f>IF(NOT(ISNUMBER(D16)),0,IF(D16&gt;=300,20,IF(D16&gt;=200,15,IF(D16&gt;=100,10,5))))+IF(NOT(ISNUMBER(E16)),0,IF(E16&gt;=60,10,IF(E16&gt;=40,6,3)))+IFERROR(VLOOKUP(F16,기준!$B$4:$C$7,2,FALSE),0)</f>
        <v/>
      </c>
      <c r="S16" s="8">
        <f>IFERROR(VLOOKUP(I16,기준!$B$23:$C$25,2,FALSE),0)+IFERROR(VLOOKUP(J16,기준!$B$28:$C$31,2,FALSE),0)+IFERROR(VLOOKUP(K16,기준!$B$34:$C$40,2,FALSE),0)</f>
        <v/>
      </c>
      <c r="T16" s="8">
        <f>IFERROR(VLOOKUP(G16,기준!$B$10:$C$13,2,FALSE),0)+IFERROR(VLOOKUP(H16,기준!$B$16:$C$20,2,FALSE),0)</f>
        <v/>
      </c>
      <c r="U16" s="8">
        <f>IFERROR(VLOOKUP(L16,기준!$B$43:$C$45,2,FALSE),0)+IFERROR(VLOOKUP(M16,기준!$B$48:$C$51,2,FALSE),0)+IFERROR(VLOOKUP(N16,기준!$B$54:$C$57,2,FALSE),0)</f>
        <v/>
      </c>
      <c r="V16" s="8">
        <f>SUM(R16:U16)</f>
        <v/>
      </c>
      <c r="W16" s="8">
        <f>MIN(IF(O16="Y",20,100),IF(P16="Y",40,100),IF(Q16="Y",50,100))</f>
        <v/>
      </c>
      <c r="X16" s="8">
        <f>MIN(V16,W16)</f>
        <v/>
      </c>
      <c r="Y16" s="8">
        <f>RANK(X16,$X$2:$X$34,0)</f>
        <v/>
      </c>
      <c r="Z16" s="7" t="inlineStr">
        <is>
          <t>미상</t>
        </is>
      </c>
      <c r="AA16" s="7" t="inlineStr">
        <is>
          <t>미정</t>
        </is>
      </c>
      <c r="AB16" s="6">
        <f>(IF(ISNUMBER(D16),1,0)+IF(ISNUMBER(E16),1,0)+IF(F16&lt;&gt;"미상",1,0)+IF(G16&lt;&gt;"미상",1,0)+IF(H16&lt;&gt;"미상",1,0)+IF(I16&lt;&gt;"미상",1,0)+IF(J16&lt;&gt;"미상",1,0)+IF(K16&lt;&gt;"미상",1,0)+IF(L16&lt;&gt;"미상",1,0)+IF(M16&lt;&gt;"미상",1,0)+IF(N16&lt;&gt;"미상",1,0))&amp;"/11"</f>
        <v/>
      </c>
      <c r="AC16" s="6" t="inlineStr">
        <is>
          <t>미니 SKU·스펙 수집중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/>
      <c r="E17" s="7" t="n"/>
      <c r="F17" s="7" t="inlineStr">
        <is>
          <t>미상</t>
        </is>
      </c>
      <c r="G17" s="7" t="inlineStr">
        <is>
          <t>미상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미상</t>
        </is>
      </c>
      <c r="N17" s="7" t="inlineStr">
        <is>
          <t>미상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8">
        <f>IF(NOT(ISNUMBER(D17)),0,IF(D17&gt;=300,20,IF(D17&gt;=200,15,IF(D17&gt;=100,10,5))))+IF(NOT(ISNUMBER(E17)),0,IF(E17&gt;=60,10,IF(E17&gt;=40,6,3)))+IFERROR(VLOOKUP(F17,기준!$B$4:$C$7,2,FALSE),0)</f>
        <v/>
      </c>
      <c r="S17" s="8">
        <f>IFERROR(VLOOKUP(I17,기준!$B$23:$C$25,2,FALSE),0)+IFERROR(VLOOKUP(J17,기준!$B$28:$C$31,2,FALSE),0)+IFERROR(VLOOKUP(K17,기준!$B$34:$C$40,2,FALSE),0)</f>
        <v/>
      </c>
      <c r="T17" s="8">
        <f>IFERROR(VLOOKUP(G17,기준!$B$10:$C$13,2,FALSE),0)+IFERROR(VLOOKUP(H17,기준!$B$16:$C$20,2,FALSE),0)</f>
        <v/>
      </c>
      <c r="U17" s="8">
        <f>IFERROR(VLOOKUP(L17,기준!$B$43:$C$45,2,FALSE),0)+IFERROR(VLOOKUP(M17,기준!$B$48:$C$51,2,FALSE),0)+IFERROR(VLOOKUP(N17,기준!$B$54:$C$57,2,FALSE),0)</f>
        <v/>
      </c>
      <c r="V17" s="8">
        <f>SUM(R17:U17)</f>
        <v/>
      </c>
      <c r="W17" s="8">
        <f>MIN(IF(O17="Y",20,100),IF(P17="Y",40,100),IF(Q17="Y",50,100))</f>
        <v/>
      </c>
      <c r="X17" s="8">
        <f>MIN(V17,W17)</f>
        <v/>
      </c>
      <c r="Y17" s="8">
        <f>RANK(X17,$X$2:$X$34,0)</f>
        <v/>
      </c>
      <c r="Z17" s="7" t="inlineStr">
        <is>
          <t>라벨만</t>
        </is>
      </c>
      <c r="AA17" s="7" t="inlineStr">
        <is>
          <t>미정</t>
        </is>
      </c>
      <c r="AB17" s="6">
        <f>(IF(ISNUMBER(D17),1,0)+IF(ISNUMBER(E17),1,0)+IF(F17&lt;&gt;"미상",1,0)+IF(G17&lt;&gt;"미상",1,0)+IF(H17&lt;&gt;"미상",1,0)+IF(I17&lt;&gt;"미상",1,0)+IF(J17&lt;&gt;"미상",1,0)+IF(K17&lt;&gt;"미상",1,0)+IF(L17&lt;&gt;"미상",1,0)+IF(M17&lt;&gt;"미상",1,0)+IF(N17&lt;&gt;"미상",1,0))&amp;"/11"</f>
        <v/>
      </c>
      <c r="AC17" s="6" t="inlineStr">
        <is>
          <t>카이쿠라(KAIKOORA) 청어100%·아이슬란드산·EU특허 비산화구조·250/150ml 액상펌프·per회분 EPA+DHA mg 미상(이미지잠금) (kaikoora.com/펫프렌즈)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/>
      <c r="E18" s="7" t="n"/>
      <c r="F18" s="7" t="inlineStr">
        <is>
          <t>미상</t>
        </is>
      </c>
      <c r="G18" s="7" t="inlineStr">
        <is>
          <t>미상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미상</t>
        </is>
      </c>
      <c r="N18" s="7" t="inlineStr">
        <is>
          <t>미상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8">
        <f>IF(NOT(ISNUMBER(D18)),0,IF(D18&gt;=300,20,IF(D18&gt;=200,15,IF(D18&gt;=100,10,5))))+IF(NOT(ISNUMBER(E18)),0,IF(E18&gt;=60,10,IF(E18&gt;=40,6,3)))+IFERROR(VLOOKUP(F18,기준!$B$4:$C$7,2,FALSE),0)</f>
        <v/>
      </c>
      <c r="S18" s="8">
        <f>IFERROR(VLOOKUP(I18,기준!$B$23:$C$25,2,FALSE),0)+IFERROR(VLOOKUP(J18,기준!$B$28:$C$31,2,FALSE),0)+IFERROR(VLOOKUP(K18,기준!$B$34:$C$40,2,FALSE),0)</f>
        <v/>
      </c>
      <c r="T18" s="8">
        <f>IFERROR(VLOOKUP(G18,기준!$B$10:$C$13,2,FALSE),0)+IFERROR(VLOOKUP(H18,기준!$B$16:$C$20,2,FALSE),0)</f>
        <v/>
      </c>
      <c r="U18" s="8">
        <f>IFERROR(VLOOKUP(L18,기준!$B$43:$C$45,2,FALSE),0)+IFERROR(VLOOKUP(M18,기준!$B$48:$C$51,2,FALSE),0)+IFERROR(VLOOKUP(N18,기준!$B$54:$C$57,2,FALSE),0)</f>
        <v/>
      </c>
      <c r="V18" s="8">
        <f>SUM(R18:U18)</f>
        <v/>
      </c>
      <c r="W18" s="8">
        <f>MIN(IF(O18="Y",20,100),IF(P18="Y",40,100),IF(Q18="Y",50,100))</f>
        <v/>
      </c>
      <c r="X18" s="8">
        <f>MIN(V18,W18)</f>
        <v/>
      </c>
      <c r="Y18" s="8">
        <f>RANK(X18,$X$2:$X$34,0)</f>
        <v/>
      </c>
      <c r="Z18" s="7" t="inlineStr">
        <is>
          <t>라벨만</t>
        </is>
      </c>
      <c r="AA18" s="7" t="inlineStr">
        <is>
          <t>미정</t>
        </is>
      </c>
      <c r="AB18" s="6">
        <f>(IF(ISNUMBER(D18),1,0)+IF(ISNUMBER(E18),1,0)+IF(F18&lt;&gt;"미상",1,0)+IF(G18&lt;&gt;"미상",1,0)+IF(H18&lt;&gt;"미상",1,0)+IF(I18&lt;&gt;"미상",1,0)+IF(J18&lt;&gt;"미상",1,0)+IF(K18&lt;&gt;"미상",1,0)+IF(L18&lt;&gt;"미상",1,0)+IF(M18&lt;&gt;"미상",1,0)+IF(N18&lt;&gt;"미상",1,0))&amp;"/11"</f>
        <v/>
      </c>
      <c r="AC18" s="6" t="inlineStr">
        <is>
          <t>연어·액상·공기차단특허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/>
      <c r="E19" s="7" t="n"/>
      <c r="F19" s="7" t="inlineStr">
        <is>
          <t>미상</t>
        </is>
      </c>
      <c r="G19" s="7" t="inlineStr">
        <is>
          <t>미상</t>
        </is>
      </c>
      <c r="H19" s="7" t="inlineStr">
        <is>
          <t>일반어</t>
        </is>
      </c>
      <c r="I19" s="7" t="inlineStr">
        <is>
          <t>미상</t>
        </is>
      </c>
      <c r="J19" s="7" t="inlineStr">
        <is>
          <t>취약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미상</t>
        </is>
      </c>
      <c r="N19" s="7" t="inlineStr">
        <is>
          <t>미상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8">
        <f>IF(NOT(ISNUMBER(D19)),0,IF(D19&gt;=300,20,IF(D19&gt;=200,15,IF(D19&gt;=100,10,5))))+IF(NOT(ISNUMBER(E19)),0,IF(E19&gt;=60,10,IF(E19&gt;=40,6,3)))+IFERROR(VLOOKUP(F19,기준!$B$4:$C$7,2,FALSE),0)</f>
        <v/>
      </c>
      <c r="S19" s="8">
        <f>IFERROR(VLOOKUP(I19,기준!$B$23:$C$25,2,FALSE),0)+IFERROR(VLOOKUP(J19,기준!$B$28:$C$31,2,FALSE),0)+IFERROR(VLOOKUP(K19,기준!$B$34:$C$40,2,FALSE),0)</f>
        <v/>
      </c>
      <c r="T19" s="8">
        <f>IFERROR(VLOOKUP(G19,기준!$B$10:$C$13,2,FALSE),0)+IFERROR(VLOOKUP(H19,기준!$B$16:$C$20,2,FALSE),0)</f>
        <v/>
      </c>
      <c r="U19" s="8">
        <f>IFERROR(VLOOKUP(L19,기준!$B$43:$C$45,2,FALSE),0)+IFERROR(VLOOKUP(M19,기준!$B$48:$C$51,2,FALSE),0)+IFERROR(VLOOKUP(N19,기준!$B$54:$C$57,2,FALSE),0)</f>
        <v/>
      </c>
      <c r="V19" s="8">
        <f>SUM(R19:U19)</f>
        <v/>
      </c>
      <c r="W19" s="8">
        <f>MIN(IF(O19="Y",20,100),IF(P19="Y",40,100),IF(Q19="Y",50,100))</f>
        <v/>
      </c>
      <c r="X19" s="8">
        <f>MIN(V19,W19)</f>
        <v/>
      </c>
      <c r="Y19" s="8">
        <f>RANK(X19,$X$2:$X$34,0)</f>
        <v/>
      </c>
      <c r="Z19" s="7" t="inlineStr">
        <is>
          <t>라벨만</t>
        </is>
      </c>
      <c r="AA19" s="7" t="inlineStr">
        <is>
          <t>미정</t>
        </is>
      </c>
      <c r="AB19" s="6">
        <f>(IF(ISNUMBER(D19),1,0)+IF(ISNUMBER(E19),1,0)+IF(F19&lt;&gt;"미상",1,0)+IF(G19&lt;&gt;"미상",1,0)+IF(H19&lt;&gt;"미상",1,0)+IF(I19&lt;&gt;"미상",1,0)+IF(J19&lt;&gt;"미상",1,0)+IF(K19&lt;&gt;"미상",1,0)+IF(L19&lt;&gt;"미상",1,0)+IF(M19&lt;&gt;"미상",1,0)+IF(N19&lt;&gt;"미상",1,0))&amp;"/11"</f>
        <v/>
      </c>
      <c r="AC19" s="6" t="inlineStr">
        <is>
          <t>연어오일 1000ml 대용량 (핏펫)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미상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미상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미상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8">
        <f>IF(NOT(ISNUMBER(D20)),0,IF(D20&gt;=300,20,IF(D20&gt;=200,15,IF(D20&gt;=100,10,5))))+IF(NOT(ISNUMBER(E20)),0,IF(E20&gt;=60,10,IF(E20&gt;=40,6,3)))+IFERROR(VLOOKUP(F20,기준!$B$4:$C$7,2,FALSE),0)</f>
        <v/>
      </c>
      <c r="S20" s="8">
        <f>IFERROR(VLOOKUP(I20,기준!$B$23:$C$25,2,FALSE),0)+IFERROR(VLOOKUP(J20,기준!$B$28:$C$31,2,FALSE),0)+IFERROR(VLOOKUP(K20,기준!$B$34:$C$40,2,FALSE),0)</f>
        <v/>
      </c>
      <c r="T20" s="8">
        <f>IFERROR(VLOOKUP(G20,기준!$B$10:$C$13,2,FALSE),0)+IFERROR(VLOOKUP(H20,기준!$B$16:$C$20,2,FALSE),0)</f>
        <v/>
      </c>
      <c r="U20" s="8">
        <f>IFERROR(VLOOKUP(L20,기준!$B$43:$C$45,2,FALSE),0)+IFERROR(VLOOKUP(M20,기준!$B$48:$C$51,2,FALSE),0)+IFERROR(VLOOKUP(N20,기준!$B$54:$C$57,2,FALSE),0)</f>
        <v/>
      </c>
      <c r="V20" s="8">
        <f>SUM(R20:U20)</f>
        <v/>
      </c>
      <c r="W20" s="8">
        <f>MIN(IF(O20="Y",20,100),IF(P20="Y",40,100),IF(Q20="Y",50,100))</f>
        <v/>
      </c>
      <c r="X20" s="8">
        <f>MIN(V20,W20)</f>
        <v/>
      </c>
      <c r="Y20" s="8">
        <f>RANK(X20,$X$2:$X$34,0)</f>
        <v/>
      </c>
      <c r="Z20" s="7" t="inlineStr">
        <is>
          <t>미상</t>
        </is>
      </c>
      <c r="AA20" s="7" t="inlineStr">
        <is>
          <t>미정</t>
        </is>
      </c>
      <c r="AB20" s="6">
        <f>(IF(ISNUMBER(D20),1,0)+IF(ISNUMBER(E20),1,0)+IF(F20&lt;&gt;"미상",1,0)+IF(G20&lt;&gt;"미상",1,0)+IF(H20&lt;&gt;"미상",1,0)+IF(I20&lt;&gt;"미상",1,0)+IF(J20&lt;&gt;"미상",1,0)+IF(K20&lt;&gt;"미상",1,0)+IF(L20&lt;&gt;"미상",1,0)+IF(M20&lt;&gt;"미상",1,0)+IF(N20&lt;&gt;"미상",1,0))&amp;"/11"</f>
        <v/>
      </c>
      <c r="AC20" s="6" t="inlineStr">
        <is>
          <t>노르웨이 연어오일·스펙 수집중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8">
        <f>IF(NOT(ISNUMBER(D21)),0,IF(D21&gt;=300,20,IF(D21&gt;=200,15,IF(D21&gt;=100,10,5))))+IF(NOT(ISNUMBER(E21)),0,IF(E21&gt;=60,10,IF(E21&gt;=40,6,3)))+IFERROR(VLOOKUP(F21,기준!$B$4:$C$7,2,FALSE),0)</f>
        <v/>
      </c>
      <c r="S21" s="8">
        <f>IFERROR(VLOOKUP(I21,기준!$B$23:$C$25,2,FALSE),0)+IFERROR(VLOOKUP(J21,기준!$B$28:$C$31,2,FALSE),0)+IFERROR(VLOOKUP(K21,기준!$B$34:$C$40,2,FALSE),0)</f>
        <v/>
      </c>
      <c r="T21" s="8">
        <f>IFERROR(VLOOKUP(G21,기준!$B$10:$C$13,2,FALSE),0)+IFERROR(VLOOKUP(H21,기준!$B$16:$C$20,2,FALSE),0)</f>
        <v/>
      </c>
      <c r="U21" s="8">
        <f>IFERROR(VLOOKUP(L21,기준!$B$43:$C$45,2,FALSE),0)+IFERROR(VLOOKUP(M21,기준!$B$48:$C$51,2,FALSE),0)+IFERROR(VLOOKUP(N21,기준!$B$54:$C$57,2,FALSE),0)</f>
        <v/>
      </c>
      <c r="V21" s="8">
        <f>SUM(R21:U21)</f>
        <v/>
      </c>
      <c r="W21" s="8">
        <f>MIN(IF(O21="Y",20,100),IF(P21="Y",40,100),IF(Q21="Y",50,100))</f>
        <v/>
      </c>
      <c r="X21" s="8">
        <f>MIN(V21,W21)</f>
        <v/>
      </c>
      <c r="Y21" s="8">
        <f>RANK(X21,$X$2:$X$34,0)</f>
        <v/>
      </c>
      <c r="Z21" s="7" t="inlineStr">
        <is>
          <t>라벨만</t>
        </is>
      </c>
      <c r="AA21" s="7" t="inlineStr">
        <is>
          <t>미정</t>
        </is>
      </c>
      <c r="AB21" s="6">
        <f>(IF(ISNUMBER(D21),1,0)+IF(ISNUMBER(E21),1,0)+IF(F21&lt;&gt;"미상",1,0)+IF(G21&lt;&gt;"미상",1,0)+IF(H21&lt;&gt;"미상",1,0)+IF(I21&lt;&gt;"미상",1,0)+IF(J21&lt;&gt;"미상",1,0)+IF(K21&lt;&gt;"미상",1,0)+IF(L21&lt;&gt;"미상",1,0)+IF(M21&lt;&gt;"미상",1,0)+IF(N21&lt;&gt;"미상",1,0))&amp;"/11"</f>
        <v/>
      </c>
      <c r="AC21" s="6" t="inlineStr">
        <is>
          <t>연어+폴락(대구과 어체유, 간유 아님)→비타민A/D 상한 부적용 (핏펫)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</t>
        </is>
      </c>
      <c r="D22" s="7" t="n"/>
      <c r="E22" s="7" t="n"/>
      <c r="F22" s="7" t="inlineStr">
        <is>
          <t>미상</t>
        </is>
      </c>
      <c r="G22" s="7" t="inlineStr">
        <is>
          <t>미상</t>
        </is>
      </c>
      <c r="H22" s="7" t="inlineStr">
        <is>
          <t>일반어</t>
        </is>
      </c>
      <c r="I22" s="7" t="inlineStr">
        <is>
          <t>미상</t>
        </is>
      </c>
      <c r="J22" s="7" t="inlineStr">
        <is>
          <t>미상</t>
        </is>
      </c>
      <c r="K22" s="7" t="inlineStr">
        <is>
          <t>미상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미상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8">
        <f>IF(NOT(ISNUMBER(D22)),0,IF(D22&gt;=300,20,IF(D22&gt;=200,15,IF(D22&gt;=100,10,5))))+IF(NOT(ISNUMBER(E22)),0,IF(E22&gt;=60,10,IF(E22&gt;=40,6,3)))+IFERROR(VLOOKUP(F22,기준!$B$4:$C$7,2,FALSE),0)</f>
        <v/>
      </c>
      <c r="S22" s="8">
        <f>IFERROR(VLOOKUP(I22,기준!$B$23:$C$25,2,FALSE),0)+IFERROR(VLOOKUP(J22,기준!$B$28:$C$31,2,FALSE),0)+IFERROR(VLOOKUP(K22,기준!$B$34:$C$40,2,FALSE),0)</f>
        <v/>
      </c>
      <c r="T22" s="8">
        <f>IFERROR(VLOOKUP(G22,기준!$B$10:$C$13,2,FALSE),0)+IFERROR(VLOOKUP(H22,기준!$B$16:$C$20,2,FALSE),0)</f>
        <v/>
      </c>
      <c r="U22" s="8">
        <f>IFERROR(VLOOKUP(L22,기준!$B$43:$C$45,2,FALSE),0)+IFERROR(VLOOKUP(M22,기준!$B$48:$C$51,2,FALSE),0)+IFERROR(VLOOKUP(N22,기준!$B$54:$C$57,2,FALSE),0)</f>
        <v/>
      </c>
      <c r="V22" s="8">
        <f>SUM(R22:U22)</f>
        <v/>
      </c>
      <c r="W22" s="8">
        <f>MIN(IF(O22="Y",20,100),IF(P22="Y",40,100),IF(Q22="Y",50,100))</f>
        <v/>
      </c>
      <c r="X22" s="8">
        <f>MIN(V22,W22)</f>
        <v/>
      </c>
      <c r="Y22" s="8">
        <f>RANK(X22,$X$2:$X$34,0)</f>
        <v/>
      </c>
      <c r="Z22" s="7" t="inlineStr">
        <is>
          <t>미상</t>
        </is>
      </c>
      <c r="AA22" s="7" t="inlineStr">
        <is>
          <t>미정</t>
        </is>
      </c>
      <c r="AB22" s="6">
        <f>(IF(ISNUMBER(D22),1,0)+IF(ISNUMBER(E22),1,0)+IF(F22&lt;&gt;"미상",1,0)+IF(G22&lt;&gt;"미상",1,0)+IF(H22&lt;&gt;"미상",1,0)+IF(I22&lt;&gt;"미상",1,0)+IF(J22&lt;&gt;"미상",1,0)+IF(K22&lt;&gt;"미상",1,0)+IF(L22&lt;&gt;"미상",1,0)+IF(M22&lt;&gt;"미상",1,0)+IF(N22&lt;&gt;"미상",1,0))&amp;"/11"</f>
        <v/>
      </c>
      <c r="AC22" s="6" t="inlineStr">
        <is>
          <t>물개오일+루테인·해양성·스펙 미상 (핏펫)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8">
        <f>IF(NOT(ISNUMBER(D23)),0,IF(D23&gt;=300,20,IF(D23&gt;=200,15,IF(D23&gt;=100,10,5))))+IF(NOT(ISNUMBER(E23)),0,IF(E23&gt;=60,10,IF(E23&gt;=40,6,3)))+IFERROR(VLOOKUP(F23,기준!$B$4:$C$7,2,FALSE),0)</f>
        <v/>
      </c>
      <c r="S23" s="8">
        <f>IFERROR(VLOOKUP(I23,기준!$B$23:$C$25,2,FALSE),0)+IFERROR(VLOOKUP(J23,기준!$B$28:$C$31,2,FALSE),0)+IFERROR(VLOOKUP(K23,기준!$B$34:$C$40,2,FALSE),0)</f>
        <v/>
      </c>
      <c r="T23" s="8">
        <f>IFERROR(VLOOKUP(G23,기준!$B$10:$C$13,2,FALSE),0)+IFERROR(VLOOKUP(H23,기준!$B$16:$C$20,2,FALSE),0)</f>
        <v/>
      </c>
      <c r="U23" s="8">
        <f>IFERROR(VLOOKUP(L23,기준!$B$43:$C$45,2,FALSE),0)+IFERROR(VLOOKUP(M23,기준!$B$48:$C$51,2,FALSE),0)+IFERROR(VLOOKUP(N23,기준!$B$54:$C$57,2,FALSE),0)</f>
        <v/>
      </c>
      <c r="V23" s="8">
        <f>SUM(R23:U23)</f>
        <v/>
      </c>
      <c r="W23" s="8">
        <f>MIN(IF(O23="Y",20,100),IF(P23="Y",40,100),IF(Q23="Y",50,100))</f>
        <v/>
      </c>
      <c r="X23" s="8">
        <f>MIN(V23,W23)</f>
        <v/>
      </c>
      <c r="Y23" s="8">
        <f>RANK(X23,$X$2:$X$34,0)</f>
        <v/>
      </c>
      <c r="Z23" s="7" t="inlineStr">
        <is>
          <t>라벨만</t>
        </is>
      </c>
      <c r="AA23" s="7" t="inlineStr">
        <is>
          <t>DHA중심(조류)</t>
        </is>
      </c>
      <c r="AB23" s="6">
        <f>(IF(ISNUMBER(D23),1,0)+IF(ISNUMBER(E23),1,0)+IF(F23&lt;&gt;"미상",1,0)+IF(G23&lt;&gt;"미상",1,0)+IF(H23&lt;&gt;"미상",1,0)+IF(I23&lt;&gt;"미상",1,0)+IF(J23&lt;&gt;"미상",1,0)+IF(K23&lt;&gt;"미상",1,0)+IF(L23&lt;&gt;"미상",1,0)+IF(M23&lt;&gt;"미상",1,0)+IF(N23&lt;&gt;"미상",1,0))&amp;"/11"</f>
        <v/>
      </c>
      <c r="AC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8">
        <f>IF(NOT(ISNUMBER(D24)),0,IF(D24&gt;=300,20,IF(D24&gt;=200,15,IF(D24&gt;=100,10,5))))+IF(NOT(ISNUMBER(E24)),0,IF(E24&gt;=60,10,IF(E24&gt;=40,6,3)))+IFERROR(VLOOKUP(F24,기준!$B$4:$C$7,2,FALSE),0)</f>
        <v/>
      </c>
      <c r="S24" s="8">
        <f>IFERROR(VLOOKUP(I24,기준!$B$23:$C$25,2,FALSE),0)+IFERROR(VLOOKUP(J24,기준!$B$28:$C$31,2,FALSE),0)+IFERROR(VLOOKUP(K24,기준!$B$34:$C$40,2,FALSE),0)</f>
        <v/>
      </c>
      <c r="T24" s="8">
        <f>IFERROR(VLOOKUP(G24,기준!$B$10:$C$13,2,FALSE),0)+IFERROR(VLOOKUP(H24,기준!$B$16:$C$20,2,FALSE),0)</f>
        <v/>
      </c>
      <c r="U24" s="8">
        <f>IFERROR(VLOOKUP(L24,기준!$B$43:$C$45,2,FALSE),0)+IFERROR(VLOOKUP(M24,기준!$B$48:$C$51,2,FALSE),0)+IFERROR(VLOOKUP(N24,기준!$B$54:$C$57,2,FALSE),0)</f>
        <v/>
      </c>
      <c r="V24" s="8">
        <f>SUM(R24:U24)</f>
        <v/>
      </c>
      <c r="W24" s="8">
        <f>MIN(IF(O24="Y",20,100),IF(P24="Y",40,100),IF(Q24="Y",50,100))</f>
        <v/>
      </c>
      <c r="X24" s="8">
        <f>MIN(V24,W24)</f>
        <v/>
      </c>
      <c r="Y24" s="8">
        <f>RANK(X24,$X$2:$X$34,0)</f>
        <v/>
      </c>
      <c r="Z24" s="7" t="inlineStr">
        <is>
          <t>라벨만</t>
        </is>
      </c>
      <c r="AA24" s="7" t="inlineStr">
        <is>
          <t>DHA중심(조류)</t>
        </is>
      </c>
      <c r="AB24" s="6">
        <f>(IF(ISNUMBER(D24),1,0)+IF(ISNUMBER(E24),1,0)+IF(F24&lt;&gt;"미상",1,0)+IF(G24&lt;&gt;"미상",1,0)+IF(H24&lt;&gt;"미상",1,0)+IF(I24&lt;&gt;"미상",1,0)+IF(J24&lt;&gt;"미상",1,0)+IF(K24&lt;&gt;"미상",1,0)+IF(L24&lt;&gt;"미상",1,0)+IF(M24&lt;&gt;"미상",1,0)+IF(N24&lt;&gt;"미상",1,0))&amp;"/11"</f>
        <v/>
      </c>
      <c r="AC24" s="6" t="inlineStr">
        <is>
          <t>식물성 rTG=미세조류 DHA(EPA 거의 없음)·상한 부적용·DHA 편중(브랜드 식물성라인 순도~80%) (소셜타임스)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미상</t>
        </is>
      </c>
      <c r="J25" s="7" t="inlineStr">
        <is>
          <t>미상</t>
        </is>
      </c>
      <c r="K25" s="7" t="inlineStr">
        <is>
          <t>미상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미상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8">
        <f>IF(NOT(ISNUMBER(D25)),0,IF(D25&gt;=300,20,IF(D25&gt;=200,15,IF(D25&gt;=100,10,5))))+IF(NOT(ISNUMBER(E25)),0,IF(E25&gt;=60,10,IF(E25&gt;=40,6,3)))+IFERROR(VLOOKUP(F25,기준!$B$4:$C$7,2,FALSE),0)</f>
        <v/>
      </c>
      <c r="S25" s="8">
        <f>IFERROR(VLOOKUP(I25,기준!$B$23:$C$25,2,FALSE),0)+IFERROR(VLOOKUP(J25,기준!$B$28:$C$31,2,FALSE),0)+IFERROR(VLOOKUP(K25,기준!$B$34:$C$40,2,FALSE),0)</f>
        <v/>
      </c>
      <c r="T25" s="8">
        <f>IFERROR(VLOOKUP(G25,기준!$B$10:$C$13,2,FALSE),0)+IFERROR(VLOOKUP(H25,기준!$B$16:$C$20,2,FALSE),0)</f>
        <v/>
      </c>
      <c r="U25" s="8">
        <f>IFERROR(VLOOKUP(L25,기준!$B$43:$C$45,2,FALSE),0)+IFERROR(VLOOKUP(M25,기준!$B$48:$C$51,2,FALSE),0)+IFERROR(VLOOKUP(N25,기준!$B$54:$C$57,2,FALSE),0)</f>
        <v/>
      </c>
      <c r="V25" s="8">
        <f>SUM(R25:U25)</f>
        <v/>
      </c>
      <c r="W25" s="8">
        <f>MIN(IF(O25="Y",20,100),IF(P25="Y",40,100),IF(Q25="Y",50,100))</f>
        <v/>
      </c>
      <c r="X25" s="8">
        <f>MIN(V25,W25)</f>
        <v/>
      </c>
      <c r="Y25" s="8">
        <f>RANK(X25,$X$2:$X$34,0)</f>
        <v/>
      </c>
      <c r="Z25" s="7" t="inlineStr">
        <is>
          <t>미상</t>
        </is>
      </c>
      <c r="AA25" s="7" t="inlineStr">
        <is>
          <t>미정</t>
        </is>
      </c>
      <c r="AB25" s="6">
        <f>(IF(ISNUMBER(D25),1,0)+IF(ISNUMBER(E25),1,0)+IF(F25&lt;&gt;"미상",1,0)+IF(G25&lt;&gt;"미상",1,0)+IF(H25&lt;&gt;"미상",1,0)+IF(I25&lt;&gt;"미상",1,0)+IF(J25&lt;&gt;"미상",1,0)+IF(K25&lt;&gt;"미상",1,0)+IF(L25&lt;&gt;"미상",1,0)+IF(M25&lt;&gt;"미상",1,0)+IF(N25&lt;&gt;"미상",1,0))&amp;"/11"</f>
        <v/>
      </c>
      <c r="AC25" s="6" t="inlineStr">
        <is>
          <t>병원/클리닉 채널·공개정보 적음·수집중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8">
        <f>IF(NOT(ISNUMBER(D26)),0,IF(D26&gt;=300,20,IF(D26&gt;=200,15,IF(D26&gt;=100,10,5))))+IF(NOT(ISNUMBER(E26)),0,IF(E26&gt;=60,10,IF(E26&gt;=40,6,3)))+IFERROR(VLOOKUP(F26,기준!$B$4:$C$7,2,FALSE),0)</f>
        <v/>
      </c>
      <c r="S26" s="8">
        <f>IFERROR(VLOOKUP(I26,기준!$B$23:$C$25,2,FALSE),0)+IFERROR(VLOOKUP(J26,기준!$B$28:$C$31,2,FALSE),0)+IFERROR(VLOOKUP(K26,기준!$B$34:$C$40,2,FALSE),0)</f>
        <v/>
      </c>
      <c r="T26" s="8">
        <f>IFERROR(VLOOKUP(G26,기준!$B$10:$C$13,2,FALSE),0)+IFERROR(VLOOKUP(H26,기준!$B$16:$C$20,2,FALSE),0)</f>
        <v/>
      </c>
      <c r="U26" s="8">
        <f>IFERROR(VLOOKUP(L26,기준!$B$43:$C$45,2,FALSE),0)+IFERROR(VLOOKUP(M26,기준!$B$48:$C$51,2,FALSE),0)+IFERROR(VLOOKUP(N26,기준!$B$54:$C$57,2,FALSE),0)</f>
        <v/>
      </c>
      <c r="V26" s="8">
        <f>SUM(R26:U26)</f>
        <v/>
      </c>
      <c r="W26" s="8">
        <f>MIN(IF(O26="Y",20,100),IF(P26="Y",40,100),IF(Q26="Y",50,100))</f>
        <v/>
      </c>
      <c r="X26" s="8">
        <f>MIN(V26,W26)</f>
        <v/>
      </c>
      <c r="Y26" s="8">
        <f>RANK(X26,$X$2:$X$34,0)</f>
        <v/>
      </c>
      <c r="Z26" s="7" t="inlineStr">
        <is>
          <t>미상</t>
        </is>
      </c>
      <c r="AA26" s="7" t="inlineStr">
        <is>
          <t>미정</t>
        </is>
      </c>
      <c r="AB26" s="6">
        <f>(IF(ISNUMBER(D26),1,0)+IF(ISNUMBER(E26),1,0)+IF(F26&lt;&gt;"미상",1,0)+IF(G26&lt;&gt;"미상",1,0)+IF(H26&lt;&gt;"미상",1,0)+IF(I26&lt;&gt;"미상",1,0)+IF(J26&lt;&gt;"미상",1,0)+IF(K26&lt;&gt;"미상",1,0)+IF(L26&lt;&gt;"미상",1,0)+IF(M26&lt;&gt;"미상",1,0)+IF(N26&lt;&gt;"미상",1,0))&amp;"/11"</f>
        <v/>
      </c>
      <c r="AC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8">
        <f>IF(NOT(ISNUMBER(D27)),0,IF(D27&gt;=300,20,IF(D27&gt;=200,15,IF(D27&gt;=100,10,5))))+IF(NOT(ISNUMBER(E27)),0,IF(E27&gt;=60,10,IF(E27&gt;=40,6,3)))+IFERROR(VLOOKUP(F27,기준!$B$4:$C$7,2,FALSE),0)</f>
        <v/>
      </c>
      <c r="S27" s="8">
        <f>IFERROR(VLOOKUP(I27,기준!$B$23:$C$25,2,FALSE),0)+IFERROR(VLOOKUP(J27,기준!$B$28:$C$31,2,FALSE),0)+IFERROR(VLOOKUP(K27,기준!$B$34:$C$40,2,FALSE),0)</f>
        <v/>
      </c>
      <c r="T27" s="8">
        <f>IFERROR(VLOOKUP(G27,기준!$B$10:$C$13,2,FALSE),0)+IFERROR(VLOOKUP(H27,기준!$B$16:$C$20,2,FALSE),0)</f>
        <v/>
      </c>
      <c r="U27" s="8">
        <f>IFERROR(VLOOKUP(L27,기준!$B$43:$C$45,2,FALSE),0)+IFERROR(VLOOKUP(M27,기준!$B$48:$C$51,2,FALSE),0)+IFERROR(VLOOKUP(N27,기준!$B$54:$C$57,2,FALSE),0)</f>
        <v/>
      </c>
      <c r="V27" s="8">
        <f>SUM(R27:U27)</f>
        <v/>
      </c>
      <c r="W27" s="8">
        <f>MIN(IF(O27="Y",20,100),IF(P27="Y",40,100),IF(Q27="Y",50,100))</f>
        <v/>
      </c>
      <c r="X27" s="8">
        <f>MIN(V27,W27)</f>
        <v/>
      </c>
      <c r="Y27" s="8">
        <f>RANK(X27,$X$2:$X$34,0)</f>
        <v/>
      </c>
      <c r="Z27" s="7" t="inlineStr">
        <is>
          <t>공개·검증</t>
        </is>
      </c>
      <c r="AA27" s="7" t="inlineStr">
        <is>
          <t>미정</t>
        </is>
      </c>
      <c r="AB27" s="6">
        <f>(IF(ISNUMBER(D27),1,0)+IF(ISNUMBER(E27),1,0)+IF(F27&lt;&gt;"미상",1,0)+IF(G27&lt;&gt;"미상",1,0)+IF(H27&lt;&gt;"미상",1,0)+IF(I27&lt;&gt;"미상",1,0)+IF(J27&lt;&gt;"미상",1,0)+IF(K27&lt;&gt;"미상",1,0)+IF(L27&lt;&gt;"미상",1,0)+IF(M27&lt;&gt;"미상",1,0)+IF(N27&lt;&gt;"미상",1,0))&amp;"/11"</f>
        <v/>
      </c>
      <c r="AC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8">
        <f>IF(NOT(ISNUMBER(D28)),0,IF(D28&gt;=300,20,IF(D28&gt;=200,15,IF(D28&gt;=100,10,5))))+IF(NOT(ISNUMBER(E28)),0,IF(E28&gt;=60,10,IF(E28&gt;=40,6,3)))+IFERROR(VLOOKUP(F28,기준!$B$4:$C$7,2,FALSE),0)</f>
        <v/>
      </c>
      <c r="S28" s="8">
        <f>IFERROR(VLOOKUP(I28,기준!$B$23:$C$25,2,FALSE),0)+IFERROR(VLOOKUP(J28,기준!$B$28:$C$31,2,FALSE),0)+IFERROR(VLOOKUP(K28,기준!$B$34:$C$40,2,FALSE),0)</f>
        <v/>
      </c>
      <c r="T28" s="8">
        <f>IFERROR(VLOOKUP(G28,기준!$B$10:$C$13,2,FALSE),0)+IFERROR(VLOOKUP(H28,기준!$B$16:$C$20,2,FALSE),0)</f>
        <v/>
      </c>
      <c r="U28" s="8">
        <f>IFERROR(VLOOKUP(L28,기준!$B$43:$C$45,2,FALSE),0)+IFERROR(VLOOKUP(M28,기준!$B$48:$C$51,2,FALSE),0)+IFERROR(VLOOKUP(N28,기준!$B$54:$C$57,2,FALSE),0)</f>
        <v/>
      </c>
      <c r="V28" s="8">
        <f>SUM(R28:U28)</f>
        <v/>
      </c>
      <c r="W28" s="8">
        <f>MIN(IF(O28="Y",20,100),IF(P28="Y",40,100),IF(Q28="Y",50,100))</f>
        <v/>
      </c>
      <c r="X28" s="8">
        <f>MIN(V28,W28)</f>
        <v/>
      </c>
      <c r="Y28" s="8">
        <f>RANK(X28,$X$2:$X$34,0)</f>
        <v/>
      </c>
      <c r="Z28" s="7" t="inlineStr">
        <is>
          <t>라벨만</t>
        </is>
      </c>
      <c r="AA28" s="7" t="inlineStr">
        <is>
          <t>미정</t>
        </is>
      </c>
      <c r="AB28" s="6">
        <f>(IF(ISNUMBER(D28),1,0)+IF(ISNUMBER(E28),1,0)+IF(F28&lt;&gt;"미상",1,0)+IF(G28&lt;&gt;"미상",1,0)+IF(H28&lt;&gt;"미상",1,0)+IF(I28&lt;&gt;"미상",1,0)+IF(J28&lt;&gt;"미상",1,0)+IF(K28&lt;&gt;"미상",1,0)+IF(L28&lt;&gt;"미상",1,0)+IF(M28&lt;&gt;"미상",1,0)+IF(N28&lt;&gt;"미상",1,0))&amp;"/11"</f>
        <v/>
      </c>
      <c r="AC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8">
        <f>IF(NOT(ISNUMBER(D29)),0,IF(D29&gt;=300,20,IF(D29&gt;=200,15,IF(D29&gt;=100,10,5))))+IF(NOT(ISNUMBER(E29)),0,IF(E29&gt;=60,10,IF(E29&gt;=40,6,3)))+IFERROR(VLOOKUP(F29,기준!$B$4:$C$7,2,FALSE),0)</f>
        <v/>
      </c>
      <c r="S29" s="8">
        <f>IFERROR(VLOOKUP(I29,기준!$B$23:$C$25,2,FALSE),0)+IFERROR(VLOOKUP(J29,기준!$B$28:$C$31,2,FALSE),0)+IFERROR(VLOOKUP(K29,기준!$B$34:$C$40,2,FALSE),0)</f>
        <v/>
      </c>
      <c r="T29" s="8">
        <f>IFERROR(VLOOKUP(G29,기준!$B$10:$C$13,2,FALSE),0)+IFERROR(VLOOKUP(H29,기준!$B$16:$C$20,2,FALSE),0)</f>
        <v/>
      </c>
      <c r="U29" s="8">
        <f>IFERROR(VLOOKUP(L29,기준!$B$43:$C$45,2,FALSE),0)+IFERROR(VLOOKUP(M29,기준!$B$48:$C$51,2,FALSE),0)+IFERROR(VLOOKUP(N29,기준!$B$54:$C$57,2,FALSE),0)</f>
        <v/>
      </c>
      <c r="V29" s="8">
        <f>SUM(R29:U29)</f>
        <v/>
      </c>
      <c r="W29" s="8">
        <f>MIN(IF(O29="Y",20,100),IF(P29="Y",40,100),IF(Q29="Y",50,100))</f>
        <v/>
      </c>
      <c r="X29" s="8">
        <f>MIN(V29,W29)</f>
        <v/>
      </c>
      <c r="Y29" s="8">
        <f>RANK(X29,$X$2:$X$34,0)</f>
        <v/>
      </c>
      <c r="Z29" s="7" t="inlineStr">
        <is>
          <t>라벨만</t>
        </is>
      </c>
      <c r="AA29" s="7" t="inlineStr">
        <is>
          <t>미정</t>
        </is>
      </c>
      <c r="AB29" s="6">
        <f>(IF(ISNUMBER(D29),1,0)+IF(ISNUMBER(E29),1,0)+IF(F29&lt;&gt;"미상",1,0)+IF(G29&lt;&gt;"미상",1,0)+IF(H29&lt;&gt;"미상",1,0)+IF(I29&lt;&gt;"미상",1,0)+IF(J29&lt;&gt;"미상",1,0)+IF(K29&lt;&gt;"미상",1,0)+IF(L29&lt;&gt;"미상",1,0)+IF(M29&lt;&gt;"미상",1,0)+IF(N29&lt;&gt;"미상",1,0))&amp;"/11"</f>
        <v/>
      </c>
      <c r="AC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8">
        <f>IF(NOT(ISNUMBER(D30)),0,IF(D30&gt;=300,20,IF(D30&gt;=200,15,IF(D30&gt;=100,10,5))))+IF(NOT(ISNUMBER(E30)),0,IF(E30&gt;=60,10,IF(E30&gt;=40,6,3)))+IFERROR(VLOOKUP(F30,기준!$B$4:$C$7,2,FALSE),0)</f>
        <v/>
      </c>
      <c r="S30" s="8">
        <f>IFERROR(VLOOKUP(I30,기준!$B$23:$C$25,2,FALSE),0)+IFERROR(VLOOKUP(J30,기준!$B$28:$C$31,2,FALSE),0)+IFERROR(VLOOKUP(K30,기준!$B$34:$C$40,2,FALSE),0)</f>
        <v/>
      </c>
      <c r="T30" s="8">
        <f>IFERROR(VLOOKUP(G30,기준!$B$10:$C$13,2,FALSE),0)+IFERROR(VLOOKUP(H30,기준!$B$16:$C$20,2,FALSE),0)</f>
        <v/>
      </c>
      <c r="U30" s="8">
        <f>IFERROR(VLOOKUP(L30,기준!$B$43:$C$45,2,FALSE),0)+IFERROR(VLOOKUP(M30,기준!$B$48:$C$51,2,FALSE),0)+IFERROR(VLOOKUP(N30,기준!$B$54:$C$57,2,FALSE),0)</f>
        <v/>
      </c>
      <c r="V30" s="8">
        <f>SUM(R30:U30)</f>
        <v/>
      </c>
      <c r="W30" s="8">
        <f>MIN(IF(O30="Y",20,100),IF(P30="Y",40,100),IF(Q30="Y",50,100))</f>
        <v/>
      </c>
      <c r="X30" s="8">
        <f>MIN(V30,W30)</f>
        <v/>
      </c>
      <c r="Y30" s="8">
        <f>RANK(X30,$X$2:$X$34,0)</f>
        <v/>
      </c>
      <c r="Z30" s="7" t="inlineStr">
        <is>
          <t>라벨만</t>
        </is>
      </c>
      <c r="AA30" s="7" t="inlineStr">
        <is>
          <t>미정</t>
        </is>
      </c>
      <c r="AB30" s="6">
        <f>(IF(ISNUMBER(D30),1,0)+IF(ISNUMBER(E30),1,0)+IF(F30&lt;&gt;"미상",1,0)+IF(G30&lt;&gt;"미상",1,0)+IF(H30&lt;&gt;"미상",1,0)+IF(I30&lt;&gt;"미상",1,0)+IF(J30&lt;&gt;"미상",1,0)+IF(K30&lt;&gt;"미상",1,0)+IF(L30&lt;&gt;"미상",1,0)+IF(M30&lt;&gt;"미상",1,0)+IF(N30&lt;&gt;"미상",1,0))&amp;"/11"</f>
        <v/>
      </c>
      <c r="AC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8">
        <f>IF(NOT(ISNUMBER(D31)),0,IF(D31&gt;=300,20,IF(D31&gt;=200,15,IF(D31&gt;=100,10,5))))+IF(NOT(ISNUMBER(E31)),0,IF(E31&gt;=60,10,IF(E31&gt;=40,6,3)))+IFERROR(VLOOKUP(F31,기준!$B$4:$C$7,2,FALSE),0)</f>
        <v/>
      </c>
      <c r="S31" s="8">
        <f>IFERROR(VLOOKUP(I31,기준!$B$23:$C$25,2,FALSE),0)+IFERROR(VLOOKUP(J31,기준!$B$28:$C$31,2,FALSE),0)+IFERROR(VLOOKUP(K31,기준!$B$34:$C$40,2,FALSE),0)</f>
        <v/>
      </c>
      <c r="T31" s="8">
        <f>IFERROR(VLOOKUP(G31,기준!$B$10:$C$13,2,FALSE),0)+IFERROR(VLOOKUP(H31,기준!$B$16:$C$20,2,FALSE),0)</f>
        <v/>
      </c>
      <c r="U31" s="8">
        <f>IFERROR(VLOOKUP(L31,기준!$B$43:$C$45,2,FALSE),0)+IFERROR(VLOOKUP(M31,기준!$B$48:$C$51,2,FALSE),0)+IFERROR(VLOOKUP(N31,기준!$B$54:$C$57,2,FALSE),0)</f>
        <v/>
      </c>
      <c r="V31" s="8">
        <f>SUM(R31:U31)</f>
        <v/>
      </c>
      <c r="W31" s="8">
        <f>MIN(IF(O31="Y",20,100),IF(P31="Y",40,100),IF(Q31="Y",50,100))</f>
        <v/>
      </c>
      <c r="X31" s="8">
        <f>MIN(V31,W31)</f>
        <v/>
      </c>
      <c r="Y31" s="8">
        <f>RANK(X31,$X$2:$X$34,0)</f>
        <v/>
      </c>
      <c r="Z31" s="7" t="inlineStr">
        <is>
          <t>공개·검증</t>
        </is>
      </c>
      <c r="AA31" s="7" t="inlineStr">
        <is>
          <t>미정</t>
        </is>
      </c>
      <c r="AB31" s="6">
        <f>(IF(ISNUMBER(D31),1,0)+IF(ISNUMBER(E31),1,0)+IF(F31&lt;&gt;"미상",1,0)+IF(G31&lt;&gt;"미상",1,0)+IF(H31&lt;&gt;"미상",1,0)+IF(I31&lt;&gt;"미상",1,0)+IF(J31&lt;&gt;"미상",1,0)+IF(K31&lt;&gt;"미상",1,0)+IF(L31&lt;&gt;"미상",1,0)+IF(M31&lt;&gt;"미상",1,0)+IF(N31&lt;&gt;"미상",1,0))&amp;"/11"</f>
        <v/>
      </c>
      <c r="AC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8">
        <f>IF(NOT(ISNUMBER(D32)),0,IF(D32&gt;=300,20,IF(D32&gt;=200,15,IF(D32&gt;=100,10,5))))+IF(NOT(ISNUMBER(E32)),0,IF(E32&gt;=60,10,IF(E32&gt;=40,6,3)))+IFERROR(VLOOKUP(F32,기준!$B$4:$C$7,2,FALSE),0)</f>
        <v/>
      </c>
      <c r="S32" s="8">
        <f>IFERROR(VLOOKUP(I32,기준!$B$23:$C$25,2,FALSE),0)+IFERROR(VLOOKUP(J32,기준!$B$28:$C$31,2,FALSE),0)+IFERROR(VLOOKUP(K32,기준!$B$34:$C$40,2,FALSE),0)</f>
        <v/>
      </c>
      <c r="T32" s="8">
        <f>IFERROR(VLOOKUP(G32,기준!$B$10:$C$13,2,FALSE),0)+IFERROR(VLOOKUP(H32,기준!$B$16:$C$20,2,FALSE),0)</f>
        <v/>
      </c>
      <c r="U32" s="8">
        <f>IFERROR(VLOOKUP(L32,기준!$B$43:$C$45,2,FALSE),0)+IFERROR(VLOOKUP(M32,기준!$B$48:$C$51,2,FALSE),0)+IFERROR(VLOOKUP(N32,기준!$B$54:$C$57,2,FALSE),0)</f>
        <v/>
      </c>
      <c r="V32" s="8">
        <f>SUM(R32:U32)</f>
        <v/>
      </c>
      <c r="W32" s="8">
        <f>MIN(IF(O32="Y",20,100),IF(P32="Y",40,100),IF(Q32="Y",50,100))</f>
        <v/>
      </c>
      <c r="X32" s="8">
        <f>MIN(V32,W32)</f>
        <v/>
      </c>
      <c r="Y32" s="8">
        <f>RANK(X32,$X$2:$X$34,0)</f>
        <v/>
      </c>
      <c r="Z32" s="7" t="inlineStr">
        <is>
          <t>공개·검증</t>
        </is>
      </c>
      <c r="AA32" s="7" t="inlineStr">
        <is>
          <t>미정</t>
        </is>
      </c>
      <c r="AB32" s="6">
        <f>(IF(ISNUMBER(D32),1,0)+IF(ISNUMBER(E32),1,0)+IF(F32&lt;&gt;"미상",1,0)+IF(G32&lt;&gt;"미상",1,0)+IF(H32&lt;&gt;"미상",1,0)+IF(I32&lt;&gt;"미상",1,0)+IF(J32&lt;&gt;"미상",1,0)+IF(K32&lt;&gt;"미상",1,0)+IF(L32&lt;&gt;"미상",1,0)+IF(M32&lt;&gt;"미상",1,0)+IF(N32&lt;&gt;"미상",1,0))&amp;"/11"</f>
        <v/>
      </c>
      <c r="AC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8">
        <f>IF(NOT(ISNUMBER(D33)),0,IF(D33&gt;=300,20,IF(D33&gt;=200,15,IF(D33&gt;=100,10,5))))+IF(NOT(ISNUMBER(E33)),0,IF(E33&gt;=60,10,IF(E33&gt;=40,6,3)))+IFERROR(VLOOKUP(F33,기준!$B$4:$C$7,2,FALSE),0)</f>
        <v/>
      </c>
      <c r="S33" s="8">
        <f>IFERROR(VLOOKUP(I33,기준!$B$23:$C$25,2,FALSE),0)+IFERROR(VLOOKUP(J33,기준!$B$28:$C$31,2,FALSE),0)+IFERROR(VLOOKUP(K33,기준!$B$34:$C$40,2,FALSE),0)</f>
        <v/>
      </c>
      <c r="T33" s="8">
        <f>IFERROR(VLOOKUP(G33,기준!$B$10:$C$13,2,FALSE),0)+IFERROR(VLOOKUP(H33,기준!$B$16:$C$20,2,FALSE),0)</f>
        <v/>
      </c>
      <c r="U33" s="8">
        <f>IFERROR(VLOOKUP(L33,기준!$B$43:$C$45,2,FALSE),0)+IFERROR(VLOOKUP(M33,기준!$B$48:$C$51,2,FALSE),0)+IFERROR(VLOOKUP(N33,기준!$B$54:$C$57,2,FALSE),0)</f>
        <v/>
      </c>
      <c r="V33" s="8">
        <f>SUM(R33:U33)</f>
        <v/>
      </c>
      <c r="W33" s="8">
        <f>MIN(IF(O33="Y",20,100),IF(P33="Y",40,100),IF(Q33="Y",50,100))</f>
        <v/>
      </c>
      <c r="X33" s="8">
        <f>MIN(V33,W33)</f>
        <v/>
      </c>
      <c r="Y33" s="8">
        <f>RANK(X33,$X$2:$X$34,0)</f>
        <v/>
      </c>
      <c r="Z33" s="7" t="inlineStr">
        <is>
          <t>공개·검증</t>
        </is>
      </c>
      <c r="AA33" s="7" t="inlineStr">
        <is>
          <t>미정</t>
        </is>
      </c>
      <c r="AB33" s="6">
        <f>(IF(ISNUMBER(D33),1,0)+IF(ISNUMBER(E33),1,0)+IF(F33&lt;&gt;"미상",1,0)+IF(G33&lt;&gt;"미상",1,0)+IF(H33&lt;&gt;"미상",1,0)+IF(I33&lt;&gt;"미상",1,0)+IF(J33&lt;&gt;"미상",1,0)+IF(K33&lt;&gt;"미상",1,0)+IF(L33&lt;&gt;"미상",1,0)+IF(M33&lt;&gt;"미상",1,0)+IF(N33&lt;&gt;"미상",1,0))&amp;"/11"</f>
        <v/>
      </c>
      <c r="AC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8">
        <f>IF(NOT(ISNUMBER(D34)),0,IF(D34&gt;=300,20,IF(D34&gt;=200,15,IF(D34&gt;=100,10,5))))+IF(NOT(ISNUMBER(E34)),0,IF(E34&gt;=60,10,IF(E34&gt;=40,6,3)))+IFERROR(VLOOKUP(F34,기준!$B$4:$C$7,2,FALSE),0)</f>
        <v/>
      </c>
      <c r="S34" s="8">
        <f>IFERROR(VLOOKUP(I34,기준!$B$23:$C$25,2,FALSE),0)+IFERROR(VLOOKUP(J34,기준!$B$28:$C$31,2,FALSE),0)+IFERROR(VLOOKUP(K34,기준!$B$34:$C$40,2,FALSE),0)</f>
        <v/>
      </c>
      <c r="T34" s="8">
        <f>IFERROR(VLOOKUP(G34,기준!$B$10:$C$13,2,FALSE),0)+IFERROR(VLOOKUP(H34,기준!$B$16:$C$20,2,FALSE),0)</f>
        <v/>
      </c>
      <c r="U34" s="8">
        <f>IFERROR(VLOOKUP(L34,기준!$B$43:$C$45,2,FALSE),0)+IFERROR(VLOOKUP(M34,기준!$B$48:$C$51,2,FALSE),0)+IFERROR(VLOOKUP(N34,기준!$B$54:$C$57,2,FALSE),0)</f>
        <v/>
      </c>
      <c r="V34" s="8">
        <f>SUM(R34:U34)</f>
        <v/>
      </c>
      <c r="W34" s="8">
        <f>MIN(IF(O34="Y",20,100),IF(P34="Y",40,100),IF(Q34="Y",50,100))</f>
        <v/>
      </c>
      <c r="X34" s="8">
        <f>MIN(V34,W34)</f>
        <v/>
      </c>
      <c r="Y34" s="8">
        <f>RANK(X34,$X$2:$X$34,0)</f>
        <v/>
      </c>
      <c r="Z34" s="7" t="inlineStr">
        <is>
          <t>라벨만</t>
        </is>
      </c>
      <c r="AA34" s="7" t="inlineStr">
        <is>
          <t>DHA중심(조류)</t>
        </is>
      </c>
      <c r="AB34" s="6">
        <f>(IF(ISNUMBER(D34),1,0)+IF(ISNUMBER(E34),1,0)+IF(F34&lt;&gt;"미상",1,0)+IF(G34&lt;&gt;"미상",1,0)+IF(H34&lt;&gt;"미상",1,0)+IF(I34&lt;&gt;"미상",1,0)+IF(J34&lt;&gt;"미상",1,0)+IF(K34&lt;&gt;"미상",1,0)+IF(L34&lt;&gt;"미상",1,0)+IF(M34&lt;&gt;"미상",1,0)+IF(N34&lt;&gt;"미상",1,0))&amp;"/11"</f>
        <v/>
      </c>
      <c r="AC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2026-06-10T05:27:14Z</dcterms:created>
  <dcterms:modified xsi:type="dcterms:W3CDTF">2026-06-10T05:27:14Z</dcterms:modified>
</cp:coreProperties>
</file>