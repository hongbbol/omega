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파우더</t>
        </is>
      </c>
      <c r="C40" s="4" t="n">
        <v>4</v>
      </c>
    </row>
    <row r="41">
      <c r="B41" s="4" t="inlineStr">
        <is>
          <t>대용량액상</t>
        </is>
      </c>
      <c r="C41" s="4" t="n">
        <v>2</v>
      </c>
    </row>
    <row r="42">
      <c r="B42" s="4" t="inlineStr">
        <is>
          <t>미상</t>
        </is>
      </c>
      <c r="C42" s="4" t="n">
        <v>0</v>
      </c>
    </row>
    <row r="44">
      <c r="B44" s="3" t="inlineStr">
        <is>
          <t>인증</t>
        </is>
      </c>
    </row>
    <row r="45">
      <c r="B45" s="4" t="inlineStr">
        <is>
          <t>있음</t>
        </is>
      </c>
      <c r="C45" s="4" t="n">
        <v>5</v>
      </c>
    </row>
    <row r="46">
      <c r="B46" s="4" t="inlineStr">
        <is>
          <t>없음</t>
        </is>
      </c>
      <c r="C46" s="4" t="n">
        <v>0</v>
      </c>
    </row>
    <row r="47">
      <c r="B47" s="4" t="inlineStr">
        <is>
          <t>미상</t>
        </is>
      </c>
      <c r="C47" s="4" t="n">
        <v>0</v>
      </c>
    </row>
    <row r="49">
      <c r="B49" s="3" t="inlineStr">
        <is>
          <t>COA</t>
        </is>
      </c>
    </row>
    <row r="50">
      <c r="B50" s="4" t="inlineStr">
        <is>
          <t>공개</t>
        </is>
      </c>
      <c r="C50" s="4" t="n">
        <v>6</v>
      </c>
    </row>
    <row r="51">
      <c r="B51" s="4" t="inlineStr">
        <is>
          <t>일부</t>
        </is>
      </c>
      <c r="C51" s="4" t="n">
        <v>3</v>
      </c>
    </row>
    <row r="52">
      <c r="B52" s="4" t="inlineStr">
        <is>
          <t>없음</t>
        </is>
      </c>
      <c r="C52" s="4" t="n">
        <v>0</v>
      </c>
    </row>
    <row r="53">
      <c r="B53" s="4" t="inlineStr">
        <is>
          <t>미상</t>
        </is>
      </c>
      <c r="C53" s="4" t="n">
        <v>0</v>
      </c>
    </row>
    <row r="55">
      <c r="B55" s="3" t="inlineStr">
        <is>
          <t>원료사</t>
        </is>
      </c>
    </row>
    <row r="56">
      <c r="B56" s="4" t="inlineStr">
        <is>
          <t>명시</t>
        </is>
      </c>
      <c r="C56" s="4" t="n">
        <v>4</v>
      </c>
    </row>
    <row r="57">
      <c r="B57" s="4" t="inlineStr">
        <is>
          <t>일부</t>
        </is>
      </c>
      <c r="C57" s="4" t="n">
        <v>2</v>
      </c>
    </row>
    <row r="58">
      <c r="B58" s="4" t="inlineStr">
        <is>
          <t>없음</t>
        </is>
      </c>
      <c r="C58" s="4" t="n">
        <v>0</v>
      </c>
    </row>
    <row r="59">
      <c r="B59" s="4" t="inlineStr">
        <is>
          <t>미상</t>
        </is>
      </c>
      <c r="C59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IFERROR(VLOOKUP(I2,기준!$B$24:$C$26,2,FALSE),0)+IFERROR(VLOOKUP(J2,기준!$B$29:$C$32,2,FALSE),0)+IFERROR(VLOOKUP(K2,기준!$B$35:$C$42,2,FALSE),0)</f>
        <v/>
      </c>
      <c r="U2" s="8">
        <f>IFERROR(VLOOKUP(G2,기준!$B$10:$C$13,2,FALSE),0)+IFERROR(VLOOKUP(H2,기준!$B$16:$C$21,2,FALSE),0)</f>
        <v/>
      </c>
      <c r="V2" s="8">
        <f>IFERROR(VLOOKUP(L2,기준!$B$45:$C$47,2,FALSE),0)+IFERROR(VLOOKUP(M2,기준!$B$50:$C$53,2,FALSE),0)+IFERROR(VLOOKUP(N2,기준!$B$56:$C$59,2,FALSE),0)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오메가3(=#4 동일·개명 중복)</t>
        </is>
      </c>
      <c r="C3" s="6" t="inlineStr">
        <is>
          <t>펫·캡슐</t>
        </is>
      </c>
      <c r="D3" s="7" t="n"/>
      <c r="E3" s="7" t="n"/>
      <c r="F3" s="7" t="inlineStr">
        <is>
          <t>미상</t>
        </is>
      </c>
      <c r="G3" s="7" t="inlineStr">
        <is>
          <t>미상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미상</t>
        </is>
      </c>
      <c r="L3" s="7" t="inlineStr">
        <is>
          <t>미상</t>
        </is>
      </c>
      <c r="M3" s="7" t="inlineStr">
        <is>
          <t>미상</t>
        </is>
      </c>
      <c r="N3" s="7" t="inlineStr">
        <is>
          <t>미상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IFERROR(VLOOKUP(I3,기준!$B$24:$C$26,2,FALSE),0)+IFERROR(VLOOKUP(J3,기준!$B$29:$C$32,2,FALSE),0)+IFERROR(VLOOKUP(K3,기준!$B$35:$C$42,2,FALSE),0)</f>
        <v/>
      </c>
      <c r="U3" s="8">
        <f>IFERROR(VLOOKUP(G3,기준!$B$10:$C$13,2,FALSE),0)+IFERROR(VLOOKUP(H3,기준!$B$16:$C$21,2,FALSE),0)</f>
        <v/>
      </c>
      <c r="V3" s="8">
        <f>IFERROR(VLOOKUP(L3,기준!$B$45:$C$47,2,FALSE),0)+IFERROR(VLOOKUP(M3,기준!$B$50:$C$53,2,FALSE),0)+IFERROR(VLOOKUP(N3,기준!$B$56:$C$59,2,FALSE),0)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중복</t>
        </is>
      </c>
      <c r="AB3" s="7">
        <f>#4</f>
        <v/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사용자 확인: '조공 rTG 퓨어'는 '퓨어 오메가-3 미니'로 개명되어 #4(조공 데일리 퓨어 오메가-3 미니)와 동일 제품·중복 항목·채점 제외(점수데이터 비움)·실제 스펙은 #4 참조(EPA73.33+DHA36.67=110·순도75·Solutex rTG·IFOS) (choandkang 629)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IFERROR(VLOOKUP(I4,기준!$B$24:$C$26,2,FALSE),0)+IFERROR(VLOOKUP(J4,기준!$B$29:$C$32,2,FALSE),0)+IFERROR(VLOOKUP(K4,기준!$B$35:$C$42,2,FALSE),0)</f>
        <v/>
      </c>
      <c r="U4" s="8">
        <f>IFERROR(VLOOKUP(G4,기준!$B$10:$C$13,2,FALSE),0)+IFERROR(VLOOKUP(H4,기준!$B$16:$C$21,2,FALSE),0)</f>
        <v/>
      </c>
      <c r="V4" s="8">
        <f>IFERROR(VLOOKUP(L4,기준!$B$45:$C$47,2,FALSE),0)+IFERROR(VLOOKUP(M4,기준!$B$50:$C$53,2,FALSE),0)+IFERROR(VLOOKUP(N4,기준!$B$56:$C$59,2,FALSE),0)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IFERROR(VLOOKUP(I5,기준!$B$24:$C$26,2,FALSE),0)+IFERROR(VLOOKUP(J5,기준!$B$29:$C$32,2,FALSE),0)+IFERROR(VLOOKUP(K5,기준!$B$35:$C$42,2,FALSE),0)</f>
        <v/>
      </c>
      <c r="U5" s="8">
        <f>IFERROR(VLOOKUP(G5,기준!$B$10:$C$13,2,FALSE),0)+IFERROR(VLOOKUP(H5,기준!$B$16:$C$21,2,FALSE),0)</f>
        <v/>
      </c>
      <c r="V5" s="8">
        <f>IFERROR(VLOOKUP(L5,기준!$B$45:$C$47,2,FALSE),0)+IFERROR(VLOOKUP(M5,기준!$B$50:$C$53,2,FALSE),0)+IFERROR(VLOOKUP(N5,기준!$B$56:$C$59,2,FALSE),0)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IFERROR(VLOOKUP(I6,기준!$B$24:$C$26,2,FALSE),0)+IFERROR(VLOOKUP(J6,기준!$B$29:$C$32,2,FALSE),0)+IFERROR(VLOOKUP(K6,기준!$B$35:$C$42,2,FALSE),0)</f>
        <v/>
      </c>
      <c r="U6" s="8">
        <f>IFERROR(VLOOKUP(G6,기준!$B$10:$C$13,2,FALSE),0)+IFERROR(VLOOKUP(H6,기준!$B$16:$C$21,2,FALSE),0)</f>
        <v/>
      </c>
      <c r="V6" s="8">
        <f>IFERROR(VLOOKUP(L6,기준!$B$45:$C$47,2,FALSE),0)+IFERROR(VLOOKUP(M6,기준!$B$50:$C$53,2,FALSE),0)+IFERROR(VLOOKUP(N6,기준!$B$56:$C$59,2,FALSE),0)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IFERROR(VLOOKUP(I7,기준!$B$24:$C$26,2,FALSE),0)+IFERROR(VLOOKUP(J7,기준!$B$29:$C$32,2,FALSE),0)+IFERROR(VLOOKUP(K7,기준!$B$35:$C$42,2,FALSE),0)</f>
        <v/>
      </c>
      <c r="U7" s="8">
        <f>IFERROR(VLOOKUP(G7,기준!$B$10:$C$13,2,FALSE),0)+IFERROR(VLOOKUP(H7,기준!$B$16:$C$21,2,FALSE),0)</f>
        <v/>
      </c>
      <c r="V7" s="8">
        <f>IFERROR(VLOOKUP(L7,기준!$B$45:$C$47,2,FALSE),0)+IFERROR(VLOOKUP(M7,기준!$B$50:$C$53,2,FALSE),0)+IFERROR(VLOOKUP(N7,기준!$B$56:$C$59,2,FALSE),0)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IFERROR(VLOOKUP(I8,기준!$B$24:$C$26,2,FALSE),0)+IFERROR(VLOOKUP(J8,기준!$B$29:$C$32,2,FALSE),0)+IFERROR(VLOOKUP(K8,기준!$B$35:$C$42,2,FALSE),0)</f>
        <v/>
      </c>
      <c r="U8" s="8">
        <f>IFERROR(VLOOKUP(G8,기준!$B$10:$C$13,2,FALSE),0)+IFERROR(VLOOKUP(H8,기준!$B$16:$C$21,2,FALSE),0)</f>
        <v/>
      </c>
      <c r="V8" s="8">
        <f>IFERROR(VLOOKUP(L8,기준!$B$45:$C$47,2,FALSE),0)+IFERROR(VLOOKUP(M8,기준!$B$50:$C$53,2,FALSE),0)+IFERROR(VLOOKUP(N8,기준!$B$56:$C$59,2,FALSE),0)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츄(제형 츄)·청어 원료·고양이 직접 급여 가능성(2차출처 미검증)·판매처 소수(쿠팡 등)이며 쿠팡 봇차단(403)으로 상세 자동수집 불가·EPA/DHA mg·순도 미공개 (coupang 197646144 차단)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IFERROR(VLOOKUP(I9,기준!$B$24:$C$26,2,FALSE),0)+IFERROR(VLOOKUP(J9,기준!$B$29:$C$32,2,FALSE),0)+IFERROR(VLOOKUP(K9,기준!$B$35:$C$42,2,FALSE),0)</f>
        <v/>
      </c>
      <c r="U9" s="8">
        <f>IFERROR(VLOOKUP(G9,기준!$B$10:$C$13,2,FALSE),0)+IFERROR(VLOOKUP(H9,기준!$B$16:$C$21,2,FALSE),0)</f>
        <v/>
      </c>
      <c r="V9" s="8">
        <f>IFERROR(VLOOKUP(L9,기준!$B$45:$C$47,2,FALSE),0)+IFERROR(VLOOKUP(M9,기준!$B$50:$C$53,2,FALSE),0)+IFERROR(VLOOKUP(N9,기준!$B$56:$C$59,2,FALSE),0)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일부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IFERROR(VLOOKUP(I10,기준!$B$24:$C$26,2,FALSE),0)+IFERROR(VLOOKUP(J10,기준!$B$29:$C$32,2,FALSE),0)+IFERROR(VLOOKUP(K10,기준!$B$35:$C$42,2,FALSE),0)</f>
        <v/>
      </c>
      <c r="U10" s="8">
        <f>IFERROR(VLOOKUP(G10,기준!$B$10:$C$13,2,FALSE),0)+IFERROR(VLOOKUP(H10,기준!$B$16:$C$21,2,FALSE),0)</f>
        <v/>
      </c>
      <c r="V10" s="8">
        <f>IFERROR(VLOOKUP(L10,기준!$B$45:$C$47,2,FALSE),0)+IFERROR(VLOOKUP(M10,기준!$B$50:$C$53,2,FALSE),0)+IFERROR(VLOOKUP(N10,기준!$B$56:$C$59,2,FALSE),0)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청정해역 바다생선(고함량 DHA·EPA·동물성)·고순도 정제(수직계열화)·천연항산화제·원산지 region만 명시(원료사 일부)·EPA+DHA mg·순도·형태(rTG/TG) 공식사이트도 미공개 (공식 a-vetech.com/94?idx=165·easypet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IFERROR(VLOOKUP(I11,기준!$B$24:$C$26,2,FALSE),0)+IFERROR(VLOOKUP(J11,기준!$B$29:$C$32,2,FALSE),0)+IFERROR(VLOOKUP(K11,기준!$B$35:$C$42,2,FALSE),0)</f>
        <v/>
      </c>
      <c r="U11" s="8">
        <f>IFERROR(VLOOKUP(G11,기준!$B$10:$C$13,2,FALSE),0)+IFERROR(VLOOKUP(H11,기준!$B$16:$C$21,2,FALSE),0)</f>
        <v/>
      </c>
      <c r="V11" s="8">
        <f>IFERROR(VLOOKUP(L11,기준!$B$45:$C$47,2,FALSE),0)+IFERROR(VLOOKUP(M11,기준!$B$50:$C$53,2,FALSE),0)+IFERROR(VLOOKUP(N11,기준!$B$56:$C$59,2,FALSE),0)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IFERROR(VLOOKUP(I12,기준!$B$24:$C$26,2,FALSE),0)+IFERROR(VLOOKUP(J12,기준!$B$29:$C$32,2,FALSE),0)+IFERROR(VLOOKUP(K12,기준!$B$35:$C$42,2,FALSE),0)</f>
        <v/>
      </c>
      <c r="U12" s="8">
        <f>IFERROR(VLOOKUP(G12,기준!$B$10:$C$13,2,FALSE),0)+IFERROR(VLOOKUP(H12,기준!$B$16:$C$21,2,FALSE),0)</f>
        <v/>
      </c>
      <c r="V12" s="8">
        <f>IFERROR(VLOOKUP(L12,기준!$B$45:$C$47,2,FALSE),0)+IFERROR(VLOOKUP(M12,기준!$B$50:$C$53,2,FALSE),0)+IFERROR(VLOOKUP(N12,기준!$B$56:$C$59,2,FALSE),0)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IFERROR(VLOOKUP(I13,기준!$B$24:$C$26,2,FALSE),0)+IFERROR(VLOOKUP(J13,기준!$B$29:$C$32,2,FALSE),0)+IFERROR(VLOOKUP(K13,기준!$B$35:$C$42,2,FALSE),0)</f>
        <v/>
      </c>
      <c r="U13" s="8">
        <f>IFERROR(VLOOKUP(G13,기준!$B$10:$C$13,2,FALSE),0)+IFERROR(VLOOKUP(H13,기준!$B$16:$C$21,2,FALSE),0)</f>
        <v/>
      </c>
      <c r="V13" s="8">
        <f>IFERROR(VLOOKUP(L13,기준!$B$45:$C$47,2,FALSE),0)+IFERROR(VLOOKUP(M13,기준!$B$50:$C$53,2,FALSE),0)+IFERROR(VLOOKUP(N13,기준!$B$56:$C$59,2,FALSE),0)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IFERROR(VLOOKUP(I14,기준!$B$24:$C$26,2,FALSE),0)+IFERROR(VLOOKUP(J14,기준!$B$29:$C$32,2,FALSE),0)+IFERROR(VLOOKUP(K14,기준!$B$35:$C$42,2,FALSE),0)</f>
        <v/>
      </c>
      <c r="U14" s="8">
        <f>IFERROR(VLOOKUP(G14,기준!$B$10:$C$13,2,FALSE),0)+IFERROR(VLOOKUP(H14,기준!$B$16:$C$21,2,FALSE),0)</f>
        <v/>
      </c>
      <c r="V14" s="8">
        <f>IFERROR(VLOOKUP(L14,기준!$B$45:$C$47,2,FALSE),0)+IFERROR(VLOOKUP(M14,기준!$B$50:$C$53,2,FALSE),0)+IFERROR(VLOOKUP(N14,기준!$B$56:$C$59,2,FALSE),0)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IFERROR(VLOOKUP(I15,기준!$B$24:$C$26,2,FALSE),0)+IFERROR(VLOOKUP(J15,기준!$B$29:$C$32,2,FALSE),0)+IFERROR(VLOOKUP(K15,기준!$B$35:$C$42,2,FALSE),0)</f>
        <v/>
      </c>
      <c r="U15" s="8">
        <f>IFERROR(VLOOKUP(G15,기준!$B$10:$C$13,2,FALSE),0)+IFERROR(VLOOKUP(H15,기준!$B$16:$C$21,2,FALSE),0)</f>
        <v/>
      </c>
      <c r="V15" s="8">
        <f>IFERROR(VLOOKUP(L15,기준!$B$45:$C$47,2,FALSE),0)+IFERROR(VLOOKUP(M15,기준!$B$50:$C$53,2,FALSE),0)+IFERROR(VLOOKUP(N15,기준!$B$56:$C$59,2,FALSE),0)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IFERROR(VLOOKUP(I16,기준!$B$24:$C$26,2,FALSE),0)+IFERROR(VLOOKUP(J16,기준!$B$29:$C$32,2,FALSE),0)+IFERROR(VLOOKUP(K16,기준!$B$35:$C$42,2,FALSE),0)</f>
        <v/>
      </c>
      <c r="U16" s="8">
        <f>IFERROR(VLOOKUP(G16,기준!$B$10:$C$13,2,FALSE),0)+IFERROR(VLOOKUP(H16,기준!$B$16:$C$21,2,FALSE),0)</f>
        <v/>
      </c>
      <c r="V16" s="8">
        <f>IFERROR(VLOOKUP(L16,기준!$B$45:$C$47,2,FALSE),0)+IFERROR(VLOOKUP(M16,기준!$B$50:$C$53,2,FALSE),0)+IFERROR(VLOOKUP(N16,기준!$B$56:$C$59,2,FALSE),0)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IFERROR(VLOOKUP(I17,기준!$B$24:$C$26,2,FALSE),0)+IFERROR(VLOOKUP(J17,기준!$B$29:$C$32,2,FALSE),0)+IFERROR(VLOOKUP(K17,기준!$B$35:$C$42,2,FALSE),0)</f>
        <v/>
      </c>
      <c r="U17" s="8">
        <f>IFERROR(VLOOKUP(G17,기준!$B$10:$C$13,2,FALSE),0)+IFERROR(VLOOKUP(H17,기준!$B$16:$C$21,2,FALSE),0)</f>
        <v/>
      </c>
      <c r="V17" s="8">
        <f>IFERROR(VLOOKUP(L17,기준!$B$45:$C$47,2,FALSE),0)+IFERROR(VLOOKUP(M17,기준!$B$50:$C$53,2,FALSE),0)+IFERROR(VLOOKUP(N17,기준!$B$56:$C$59,2,FALSE),0)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IFERROR(VLOOKUP(I18,기준!$B$24:$C$26,2,FALSE),0)+IFERROR(VLOOKUP(J18,기준!$B$29:$C$32,2,FALSE),0)+IFERROR(VLOOKUP(K18,기준!$B$35:$C$42,2,FALSE),0)</f>
        <v/>
      </c>
      <c r="U18" s="8">
        <f>IFERROR(VLOOKUP(G18,기준!$B$10:$C$13,2,FALSE),0)+IFERROR(VLOOKUP(H18,기준!$B$16:$C$21,2,FALSE),0)</f>
        <v/>
      </c>
      <c r="V18" s="8">
        <f>IFERROR(VLOOKUP(L18,기준!$B$45:$C$47,2,FALSE),0)+IFERROR(VLOOKUP(M18,기준!$B$50:$C$53,2,FALSE),0)+IFERROR(VLOOKUP(N18,기준!$B$56:$C$59,2,FALSE),0)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IFERROR(VLOOKUP(I19,기준!$B$24:$C$26,2,FALSE),0)+IFERROR(VLOOKUP(J19,기준!$B$29:$C$32,2,FALSE),0)+IFERROR(VLOOKUP(K19,기준!$B$35:$C$42,2,FALSE),0)</f>
        <v/>
      </c>
      <c r="U19" s="8">
        <f>IFERROR(VLOOKUP(G19,기준!$B$10:$C$13,2,FALSE),0)+IFERROR(VLOOKUP(H19,기준!$B$16:$C$21,2,FALSE),0)</f>
        <v/>
      </c>
      <c r="V19" s="8">
        <f>IFERROR(VLOOKUP(L19,기준!$B$45:$C$47,2,FALSE),0)+IFERROR(VLOOKUP(M19,기준!$B$50:$C$53,2,FALSE),0)+IFERROR(VLOOKUP(N19,기준!$B$56:$C$59,2,FALSE),0)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IFERROR(VLOOKUP(I20,기준!$B$24:$C$26,2,FALSE),0)+IFERROR(VLOOKUP(J20,기준!$B$29:$C$32,2,FALSE),0)+IFERROR(VLOOKUP(K20,기준!$B$35:$C$42,2,FALSE),0)</f>
        <v/>
      </c>
      <c r="U20" s="8">
        <f>IFERROR(VLOOKUP(G20,기준!$B$10:$C$13,2,FALSE),0)+IFERROR(VLOOKUP(H20,기준!$B$16:$C$21,2,FALSE),0)</f>
        <v/>
      </c>
      <c r="V20" s="8">
        <f>IFERROR(VLOOKUP(L20,기준!$B$45:$C$47,2,FALSE),0)+IFERROR(VLOOKUP(M20,기준!$B$50:$C$53,2,FALSE),0)+IFERROR(VLOOKUP(N20,기준!$B$56:$C$59,2,FALSE),0)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IFERROR(VLOOKUP(I21,기준!$B$24:$C$26,2,FALSE),0)+IFERROR(VLOOKUP(J21,기준!$B$29:$C$32,2,FALSE),0)+IFERROR(VLOOKUP(K21,기준!$B$35:$C$42,2,FALSE),0)</f>
        <v/>
      </c>
      <c r="U21" s="8">
        <f>IFERROR(VLOOKUP(G21,기준!$B$10:$C$13,2,FALSE),0)+IFERROR(VLOOKUP(H21,기준!$B$16:$C$21,2,FALSE),0)</f>
        <v/>
      </c>
      <c r="V21" s="8">
        <f>IFERROR(VLOOKUP(L21,기준!$B$45:$C$47,2,FALSE),0)+IFERROR(VLOOKUP(M21,기준!$B$50:$C$53,2,FALSE),0)+IFERROR(VLOOKUP(N21,기준!$B$56:$C$59,2,FALSE),0)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부적용·국내 판매처 없음(2026-06 확인)·단종 추정으로 추가 수집 불가 (구 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취약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IFERROR(VLOOKUP(I22,기준!$B$24:$C$26,2,FALSE),0)+IFERROR(VLOOKUP(J22,기준!$B$29:$C$32,2,FALSE),0)+IFERROR(VLOOKUP(K22,기준!$B$35:$C$42,2,FALSE),0)</f>
        <v/>
      </c>
      <c r="U22" s="8">
        <f>IFERROR(VLOOKUP(G22,기준!$B$10:$C$13,2,FALSE),0)+IFERROR(VLOOKUP(H22,기준!$B$16:$C$21,2,FALSE),0)</f>
        <v/>
      </c>
      <c r="V22" s="8">
        <f>IFERROR(VLOOKUP(L22,기준!$B$45:$C$47,2,FALSE),0)+IFERROR(VLOOKUP(M22,기준!$B$50:$C$53,2,FALSE),0)+IFERROR(VLOOKUP(N22,기준!$B$56:$C$59,2,FALSE),0)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IFERROR(VLOOKUP(I23,기준!$B$24:$C$26,2,FALSE),0)+IFERROR(VLOOKUP(J23,기준!$B$29:$C$32,2,FALSE),0)+IFERROR(VLOOKUP(K23,기준!$B$35:$C$42,2,FALSE),0)</f>
        <v/>
      </c>
      <c r="U23" s="8">
        <f>IFERROR(VLOOKUP(G23,기준!$B$10:$C$13,2,FALSE),0)+IFERROR(VLOOKUP(H23,기준!$B$16:$C$21,2,FALSE),0)</f>
        <v/>
      </c>
      <c r="V23" s="8">
        <f>IFERROR(VLOOKUP(L23,기준!$B$45:$C$47,2,FALSE),0)+IFERROR(VLOOKUP(M23,기준!$B$50:$C$53,2,FALSE),0)+IFERROR(VLOOKUP(N23,기준!$B$56:$C$59,2,FALSE),0)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IFERROR(VLOOKUP(I24,기준!$B$24:$C$26,2,FALSE),0)+IFERROR(VLOOKUP(J24,기준!$B$29:$C$32,2,FALSE),0)+IFERROR(VLOOKUP(K24,기준!$B$35:$C$42,2,FALSE),0)</f>
        <v/>
      </c>
      <c r="U24" s="8">
        <f>IFERROR(VLOOKUP(G24,기준!$B$10:$C$13,2,FALSE),0)+IFERROR(VLOOKUP(H24,기준!$B$16:$C$21,2,FALSE),0)</f>
        <v/>
      </c>
      <c r="V24" s="8">
        <f>IFERROR(VLOOKUP(L24,기준!$B$45:$C$47,2,FALSE),0)+IFERROR(VLOOKUP(M24,기준!$B$50:$C$53,2,FALSE),0)+IFERROR(VLOOKUP(N24,기준!$B$56:$C$59,2,FALSE),0)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편중·브랜드 식물성라인 순도~80%·공식몰(nutricore.co.kr) 로그인 게이트라 펫 SKU 스펙 직접확인 불가·확인된 건 사람용 하이퍼셀(EPA+DHA 900mg/일·미세조류 rTG)뿐 (소셜타임스·공식 goodsInnb 2608678 게이트)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있음</t>
        </is>
      </c>
      <c r="J25" s="7" t="inlineStr">
        <is>
          <t>취약</t>
        </is>
      </c>
      <c r="K25" s="7" t="inlineStr">
        <is>
          <t>파우더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명시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IFERROR(VLOOKUP(I25,기준!$B$24:$C$26,2,FALSE),0)+IFERROR(VLOOKUP(J25,기준!$B$29:$C$32,2,FALSE),0)+IFERROR(VLOOKUP(K25,기준!$B$35:$C$42,2,FALSE),0)</f>
        <v/>
      </c>
      <c r="U25" s="8">
        <f>IFERROR(VLOOKUP(G25,기준!$B$10:$C$13,2,FALSE),0)+IFERROR(VLOOKUP(H25,기준!$B$16:$C$21,2,FALSE),0)</f>
        <v/>
      </c>
      <c r="V25" s="8">
        <f>IFERROR(VLOOKUP(L25,기준!$B$45:$C$47,2,FALSE),0)+IFERROR(VLOOKUP(M25,기준!$B$50:$C$53,2,FALSE),0)+IFERROR(VLOOKUP(N25,기준!$B$56:$C$59,2,FALSE),0)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라벨만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클리닉스 MEGA-3A 미세파우더(가루) 80g·제형 파우더(4점)·큰 뚜껑 통이라 밀폐·보관 취약·생선오일분말(어종 미표기)·EPA/DHA/ALA 함유하나 per회분 mg·순도 미공개(한 스푼≈제품 700mg)·항산화 비타민E+천연알파토코페롤+로즈마리추출물·제조원 대성물산(원료사 명시)·24개월 산패안정성 표방(실측 미공개)·성분등록 제55VVW0022 (petemart 2124 자동수집+비전 20260620)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IFERROR(VLOOKUP(I26,기준!$B$24:$C$26,2,FALSE),0)+IFERROR(VLOOKUP(J26,기준!$B$29:$C$32,2,FALSE),0)+IFERROR(VLOOKUP(K26,기준!$B$35:$C$42,2,FALSE),0)</f>
        <v/>
      </c>
      <c r="U26" s="8">
        <f>IFERROR(VLOOKUP(G26,기준!$B$10:$C$13,2,FALSE),0)+IFERROR(VLOOKUP(H26,기준!$B$16:$C$21,2,FALSE),0)</f>
        <v/>
      </c>
      <c r="V26" s="8">
        <f>IFERROR(VLOOKUP(L26,기준!$B$45:$C$47,2,FALSE),0)+IFERROR(VLOOKUP(M26,기준!$B$50:$C$53,2,FALSE),0)+IFERROR(VLOOKUP(N26,기준!$B$56:$C$59,2,FALSE),0)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IFERROR(VLOOKUP(I27,기준!$B$24:$C$26,2,FALSE),0)+IFERROR(VLOOKUP(J27,기준!$B$29:$C$32,2,FALSE),0)+IFERROR(VLOOKUP(K27,기준!$B$35:$C$42,2,FALSE),0)</f>
        <v/>
      </c>
      <c r="U27" s="8">
        <f>IFERROR(VLOOKUP(G27,기준!$B$10:$C$13,2,FALSE),0)+IFERROR(VLOOKUP(H27,기준!$B$16:$C$21,2,FALSE),0)</f>
        <v/>
      </c>
      <c r="V27" s="8">
        <f>IFERROR(VLOOKUP(L27,기준!$B$45:$C$47,2,FALSE),0)+IFERROR(VLOOKUP(M27,기준!$B$50:$C$53,2,FALSE),0)+IFERROR(VLOOKUP(N27,기준!$B$56:$C$59,2,FALSE),0)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IFERROR(VLOOKUP(I28,기준!$B$24:$C$26,2,FALSE),0)+IFERROR(VLOOKUP(J28,기준!$B$29:$C$32,2,FALSE),0)+IFERROR(VLOOKUP(K28,기준!$B$35:$C$42,2,FALSE),0)</f>
        <v/>
      </c>
      <c r="U28" s="8">
        <f>IFERROR(VLOOKUP(G28,기준!$B$10:$C$13,2,FALSE),0)+IFERROR(VLOOKUP(H28,기준!$B$16:$C$21,2,FALSE),0)</f>
        <v/>
      </c>
      <c r="V28" s="8">
        <f>IFERROR(VLOOKUP(L28,기준!$B$45:$C$47,2,FALSE),0)+IFERROR(VLOOKUP(M28,기준!$B$50:$C$53,2,FALSE),0)+IFERROR(VLOOKUP(N28,기준!$B$56:$C$59,2,FALSE),0)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IFERROR(VLOOKUP(I29,기준!$B$24:$C$26,2,FALSE),0)+IFERROR(VLOOKUP(J29,기준!$B$29:$C$32,2,FALSE),0)+IFERROR(VLOOKUP(K29,기준!$B$35:$C$42,2,FALSE),0)</f>
        <v/>
      </c>
      <c r="U29" s="8">
        <f>IFERROR(VLOOKUP(G29,기준!$B$10:$C$13,2,FALSE),0)+IFERROR(VLOOKUP(H29,기준!$B$16:$C$21,2,FALSE),0)</f>
        <v/>
      </c>
      <c r="V29" s="8">
        <f>IFERROR(VLOOKUP(L29,기준!$B$45:$C$47,2,FALSE),0)+IFERROR(VLOOKUP(M29,기준!$B$50:$C$53,2,FALSE),0)+IFERROR(VLOOKUP(N29,기준!$B$56:$C$59,2,FALSE),0)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IFERROR(VLOOKUP(I30,기준!$B$24:$C$26,2,FALSE),0)+IFERROR(VLOOKUP(J30,기준!$B$29:$C$32,2,FALSE),0)+IFERROR(VLOOKUP(K30,기준!$B$35:$C$42,2,FALSE),0)</f>
        <v/>
      </c>
      <c r="U30" s="8">
        <f>IFERROR(VLOOKUP(G30,기준!$B$10:$C$13,2,FALSE),0)+IFERROR(VLOOKUP(H30,기준!$B$16:$C$21,2,FALSE),0)</f>
        <v/>
      </c>
      <c r="V30" s="8">
        <f>IFERROR(VLOOKUP(L30,기준!$B$45:$C$47,2,FALSE),0)+IFERROR(VLOOKUP(M30,기준!$B$50:$C$53,2,FALSE),0)+IFERROR(VLOOKUP(N30,기준!$B$56:$C$59,2,FALSE),0)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IFERROR(VLOOKUP(I31,기준!$B$24:$C$26,2,FALSE),0)+IFERROR(VLOOKUP(J31,기준!$B$29:$C$32,2,FALSE),0)+IFERROR(VLOOKUP(K31,기준!$B$35:$C$42,2,FALSE),0)</f>
        <v/>
      </c>
      <c r="U31" s="8">
        <f>IFERROR(VLOOKUP(G31,기준!$B$10:$C$13,2,FALSE),0)+IFERROR(VLOOKUP(H31,기준!$B$16:$C$21,2,FALSE),0)</f>
        <v/>
      </c>
      <c r="V31" s="8">
        <f>IFERROR(VLOOKUP(L31,기준!$B$45:$C$47,2,FALSE),0)+IFERROR(VLOOKUP(M31,기준!$B$50:$C$53,2,FALSE),0)+IFERROR(VLOOKUP(N31,기준!$B$56:$C$59,2,FALSE),0)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IFERROR(VLOOKUP(I32,기준!$B$24:$C$26,2,FALSE),0)+IFERROR(VLOOKUP(J32,기준!$B$29:$C$32,2,FALSE),0)+IFERROR(VLOOKUP(K32,기준!$B$35:$C$42,2,FALSE),0)</f>
        <v/>
      </c>
      <c r="U32" s="8">
        <f>IFERROR(VLOOKUP(G32,기준!$B$10:$C$13,2,FALSE),0)+IFERROR(VLOOKUP(H32,기준!$B$16:$C$21,2,FALSE),0)</f>
        <v/>
      </c>
      <c r="V32" s="8">
        <f>IFERROR(VLOOKUP(L32,기준!$B$45:$C$47,2,FALSE),0)+IFERROR(VLOOKUP(M32,기준!$B$50:$C$53,2,FALSE),0)+IFERROR(VLOOKUP(N32,기준!$B$56:$C$59,2,FALSE),0)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IFERROR(VLOOKUP(I33,기준!$B$24:$C$26,2,FALSE),0)+IFERROR(VLOOKUP(J33,기준!$B$29:$C$32,2,FALSE),0)+IFERROR(VLOOKUP(K33,기준!$B$35:$C$42,2,FALSE),0)</f>
        <v/>
      </c>
      <c r="U33" s="8">
        <f>IFERROR(VLOOKUP(G33,기준!$B$10:$C$13,2,FALSE),0)+IFERROR(VLOOKUP(H33,기준!$B$16:$C$21,2,FALSE),0)</f>
        <v/>
      </c>
      <c r="V33" s="8">
        <f>IFERROR(VLOOKUP(L33,기준!$B$45:$C$47,2,FALSE),0)+IFERROR(VLOOKUP(M33,기준!$B$50:$C$53,2,FALSE),0)+IFERROR(VLOOKUP(N33,기준!$B$56:$C$59,2,FALSE),0)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IFERROR(VLOOKUP(I34,기준!$B$24:$C$26,2,FALSE),0)+IFERROR(VLOOKUP(J34,기준!$B$29:$C$32,2,FALSE),0)+IFERROR(VLOOKUP(K34,기준!$B$35:$C$42,2,FALSE),0)</f>
        <v/>
      </c>
      <c r="U34" s="8">
        <f>IFERROR(VLOOKUP(G34,기준!$B$10:$C$13,2,FALSE),0)+IFERROR(VLOOKUP(H34,기준!$B$16:$C$21,2,FALSE),0)</f>
        <v/>
      </c>
      <c r="V34" s="8">
        <f>IFERROR(VLOOKUP(L34,기준!$B$45:$C$47,2,FALSE),0)+IFERROR(VLOOKUP(M34,기준!$B$50:$C$53,2,FALSE),0)+IFERROR(VLOOKUP(N34,기준!$B$56:$C$59,2,FALSE),0)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2026-06-21T02:28:27Z</dcterms:created>
  <dcterms:modified xmlns:dcterms="http://purl.org/dc/terms/" xmlns:xsi="http://www.w3.org/2001/XMLSchema-instance" xsi:type="dcterms:W3CDTF">2026-06-21T02:28:27Z</dcterms:modified>
</cp:coreProperties>
</file>