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" sheetId="1" state="visible" r:id="rId1"/>
    <sheet xmlns:r="http://schemas.openxmlformats.org/officeDocument/2006/relationships"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해양포유류</t>
        </is>
      </c>
      <c r="C18" s="4" t="n">
        <v>6</v>
      </c>
    </row>
    <row r="19">
      <c r="B19" s="4" t="inlineStr">
        <is>
          <t>식물성</t>
        </is>
      </c>
      <c r="C19" s="4" t="n">
        <v>0</v>
      </c>
    </row>
    <row r="20">
      <c r="B20" s="4" t="inlineStr">
        <is>
          <t>조류</t>
        </is>
      </c>
      <c r="C20" s="4" t="n">
        <v>8</v>
      </c>
    </row>
    <row r="21">
      <c r="B21" s="4" t="inlineStr">
        <is>
          <t>미상</t>
        </is>
      </c>
      <c r="C21" s="4" t="n">
        <v>3</v>
      </c>
    </row>
    <row r="23">
      <c r="B23" s="3" t="inlineStr">
        <is>
          <t>항산화제</t>
        </is>
      </c>
    </row>
    <row r="24">
      <c r="B24" s="4" t="inlineStr">
        <is>
          <t>있음</t>
        </is>
      </c>
      <c r="C24" s="4" t="n">
        <v>10</v>
      </c>
    </row>
    <row r="25">
      <c r="B25" s="4" t="inlineStr">
        <is>
          <t>없음</t>
        </is>
      </c>
      <c r="C25" s="4" t="n">
        <v>0</v>
      </c>
    </row>
    <row r="26">
      <c r="B26" s="4" t="inlineStr">
        <is>
          <t>미상</t>
        </is>
      </c>
      <c r="C26" s="4" t="n">
        <v>0</v>
      </c>
    </row>
    <row r="28">
      <c r="B28" s="3" t="inlineStr">
        <is>
          <t>포장</t>
        </is>
      </c>
    </row>
    <row r="29">
      <c r="B29" s="4" t="inlineStr">
        <is>
          <t>우수</t>
        </is>
      </c>
      <c r="C29" s="4" t="n">
        <v>10</v>
      </c>
    </row>
    <row r="30">
      <c r="B30" s="4" t="inlineStr">
        <is>
          <t>보통</t>
        </is>
      </c>
      <c r="C30" s="4" t="n">
        <v>5</v>
      </c>
    </row>
    <row r="31">
      <c r="B31" s="4" t="inlineStr">
        <is>
          <t>취약</t>
        </is>
      </c>
      <c r="C31" s="4" t="n">
        <v>0</v>
      </c>
    </row>
    <row r="32">
      <c r="B32" s="4" t="inlineStr">
        <is>
          <t>미상</t>
        </is>
      </c>
      <c r="C32" s="4" t="n">
        <v>0</v>
      </c>
    </row>
    <row r="34">
      <c r="B34" s="3" t="inlineStr">
        <is>
          <t>제형</t>
        </is>
      </c>
    </row>
    <row r="35">
      <c r="B35" s="4" t="inlineStr">
        <is>
          <t>캡슐</t>
        </is>
      </c>
      <c r="C35" s="4" t="n">
        <v>10</v>
      </c>
    </row>
    <row r="36">
      <c r="B36" s="4" t="inlineStr">
        <is>
          <t>소프트젤</t>
        </is>
      </c>
      <c r="C36" s="4" t="n">
        <v>10</v>
      </c>
    </row>
    <row r="37">
      <c r="B37" s="4" t="inlineStr">
        <is>
          <t>츄</t>
        </is>
      </c>
      <c r="C37" s="4" t="n">
        <v>6</v>
      </c>
    </row>
    <row r="38">
      <c r="B38" s="4" t="inlineStr">
        <is>
          <t>스틱</t>
        </is>
      </c>
      <c r="C38" s="4" t="n">
        <v>6</v>
      </c>
    </row>
    <row r="39">
      <c r="B39" s="4" t="inlineStr">
        <is>
          <t>펌프액상</t>
        </is>
      </c>
      <c r="C39" s="4" t="n">
        <v>6</v>
      </c>
    </row>
    <row r="40">
      <c r="B40" s="4" t="inlineStr">
        <is>
          <t>파우더</t>
        </is>
      </c>
      <c r="C40" s="4" t="n">
        <v>4</v>
      </c>
    </row>
    <row r="41">
      <c r="B41" s="4" t="inlineStr">
        <is>
          <t>대용량액상</t>
        </is>
      </c>
      <c r="C41" s="4" t="n">
        <v>2</v>
      </c>
    </row>
    <row r="42">
      <c r="B42" s="4" t="inlineStr">
        <is>
          <t>미상</t>
        </is>
      </c>
      <c r="C42" s="4" t="n">
        <v>0</v>
      </c>
    </row>
    <row r="44">
      <c r="B44" s="3" t="inlineStr">
        <is>
          <t>인증</t>
        </is>
      </c>
    </row>
    <row r="45">
      <c r="B45" s="4" t="inlineStr">
        <is>
          <t>있음</t>
        </is>
      </c>
      <c r="C45" s="4" t="n">
        <v>5</v>
      </c>
    </row>
    <row r="46">
      <c r="B46" s="4" t="inlineStr">
        <is>
          <t>없음</t>
        </is>
      </c>
      <c r="C46" s="4" t="n">
        <v>0</v>
      </c>
    </row>
    <row r="47">
      <c r="B47" s="4" t="inlineStr">
        <is>
          <t>미상</t>
        </is>
      </c>
      <c r="C47" s="4" t="n">
        <v>0</v>
      </c>
    </row>
    <row r="49">
      <c r="B49" s="3" t="inlineStr">
        <is>
          <t>COA</t>
        </is>
      </c>
    </row>
    <row r="50">
      <c r="B50" s="4" t="inlineStr">
        <is>
          <t>공개</t>
        </is>
      </c>
      <c r="C50" s="4" t="n">
        <v>6</v>
      </c>
    </row>
    <row r="51">
      <c r="B51" s="4" t="inlineStr">
        <is>
          <t>일부</t>
        </is>
      </c>
      <c r="C51" s="4" t="n">
        <v>3</v>
      </c>
    </row>
    <row r="52">
      <c r="B52" s="4" t="inlineStr">
        <is>
          <t>없음</t>
        </is>
      </c>
      <c r="C52" s="4" t="n">
        <v>0</v>
      </c>
    </row>
    <row r="53">
      <c r="B53" s="4" t="inlineStr">
        <is>
          <t>미상</t>
        </is>
      </c>
      <c r="C53" s="4" t="n">
        <v>0</v>
      </c>
    </row>
    <row r="55">
      <c r="B55" s="3" t="inlineStr">
        <is>
          <t>원료사</t>
        </is>
      </c>
    </row>
    <row r="56">
      <c r="B56" s="4" t="inlineStr">
        <is>
          <t>명시</t>
        </is>
      </c>
      <c r="C56" s="4" t="n">
        <v>4</v>
      </c>
    </row>
    <row r="57">
      <c r="B57" s="4" t="inlineStr">
        <is>
          <t>일부</t>
        </is>
      </c>
      <c r="C57" s="4" t="n">
        <v>2</v>
      </c>
    </row>
    <row r="58">
      <c r="B58" s="4" t="inlineStr">
        <is>
          <t>없음</t>
        </is>
      </c>
      <c r="C58" s="4" t="n">
        <v>0</v>
      </c>
    </row>
    <row r="59">
      <c r="B59" s="4" t="inlineStr">
        <is>
          <t>미상</t>
        </is>
      </c>
      <c r="C59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IFERROR(VLOOKUP(I2,기준!$B$24:$C$26,2,FALSE),0)+IFERROR(VLOOKUP(J2,기준!$B$29:$C$32,2,FALSE),0)+IFERROR(VLOOKUP(K2,기준!$B$35:$C$42,2,FALSE),0)</f>
        <v/>
      </c>
      <c r="U2" s="8">
        <f>IFERROR(VLOOKUP(G2,기준!$B$10:$C$13,2,FALSE),0)+IFERROR(VLOOKUP(H2,기준!$B$16:$C$21,2,FALSE),0)</f>
        <v/>
      </c>
      <c r="V2" s="8">
        <f>IFERROR(VLOOKUP(L2,기준!$B$45:$C$47,2,FALSE),0)+IFERROR(VLOOKUP(M2,기준!$B$50:$C$53,2,FALSE),0)+IFERROR(VLOOKUP(N2,기준!$B$56:$C$59,2,FALSE),0)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오메가3(=#4 동일·개명 중복)</t>
        </is>
      </c>
      <c r="C3" s="6" t="inlineStr">
        <is>
          <t>펫·캡슐</t>
        </is>
      </c>
      <c r="D3" s="7" t="n"/>
      <c r="E3" s="7" t="n"/>
      <c r="F3" s="7" t="inlineStr">
        <is>
          <t>미상</t>
        </is>
      </c>
      <c r="G3" s="7" t="inlineStr">
        <is>
          <t>미상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미상</t>
        </is>
      </c>
      <c r="L3" s="7" t="inlineStr">
        <is>
          <t>미상</t>
        </is>
      </c>
      <c r="M3" s="7" t="inlineStr">
        <is>
          <t>미상</t>
        </is>
      </c>
      <c r="N3" s="7" t="inlineStr">
        <is>
          <t>미상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IFERROR(VLOOKUP(I3,기준!$B$24:$C$26,2,FALSE),0)+IFERROR(VLOOKUP(J3,기준!$B$29:$C$32,2,FALSE),0)+IFERROR(VLOOKUP(K3,기준!$B$35:$C$42,2,FALSE),0)</f>
        <v/>
      </c>
      <c r="U3" s="8">
        <f>IFERROR(VLOOKUP(G3,기준!$B$10:$C$13,2,FALSE),0)+IFERROR(VLOOKUP(H3,기준!$B$16:$C$21,2,FALSE),0)</f>
        <v/>
      </c>
      <c r="V3" s="8">
        <f>IFERROR(VLOOKUP(L3,기준!$B$45:$C$47,2,FALSE),0)+IFERROR(VLOOKUP(M3,기준!$B$50:$C$53,2,FALSE),0)+IFERROR(VLOOKUP(N3,기준!$B$56:$C$59,2,FALSE),0)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중복</t>
        </is>
      </c>
      <c r="AB3" s="7">
        <f>#4</f>
        <v/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사용자 확인: '조공 rTG 퓨어'는 '퓨어 오메가-3 미니'로 개명되어 #4(조공 데일리 퓨어 오메가-3 미니)와 동일 제품·중복 항목·채점 제외(점수데이터 비움)·실제 스펙은 #4 참조(EPA73.33+DHA36.67=110·순도75·Solutex rTG·IFOS) (choandkang 629)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IFERROR(VLOOKUP(I4,기준!$B$24:$C$26,2,FALSE),0)+IFERROR(VLOOKUP(J4,기준!$B$29:$C$32,2,FALSE),0)+IFERROR(VLOOKUP(K4,기준!$B$35:$C$42,2,FALSE),0)</f>
        <v/>
      </c>
      <c r="U4" s="8">
        <f>IFERROR(VLOOKUP(G4,기준!$B$10:$C$13,2,FALSE),0)+IFERROR(VLOOKUP(H4,기준!$B$16:$C$21,2,FALSE),0)</f>
        <v/>
      </c>
      <c r="V4" s="8">
        <f>IFERROR(VLOOKUP(L4,기준!$B$45:$C$47,2,FALSE),0)+IFERROR(VLOOKUP(M4,기준!$B$50:$C$53,2,FALSE),0)+IFERROR(VLOOKUP(N4,기준!$B$56:$C$59,2,FALSE),0)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IFERROR(VLOOKUP(I5,기준!$B$24:$C$26,2,FALSE),0)+IFERROR(VLOOKUP(J5,기준!$B$29:$C$32,2,FALSE),0)+IFERROR(VLOOKUP(K5,기준!$B$35:$C$42,2,FALSE),0)</f>
        <v/>
      </c>
      <c r="U5" s="8">
        <f>IFERROR(VLOOKUP(G5,기준!$B$10:$C$13,2,FALSE),0)+IFERROR(VLOOKUP(H5,기준!$B$16:$C$21,2,FALSE),0)</f>
        <v/>
      </c>
      <c r="V5" s="8">
        <f>IFERROR(VLOOKUP(L5,기준!$B$45:$C$47,2,FALSE),0)+IFERROR(VLOOKUP(M5,기준!$B$50:$C$53,2,FALSE),0)+IFERROR(VLOOKUP(N5,기준!$B$56:$C$59,2,FALSE),0)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IFERROR(VLOOKUP(I6,기준!$B$24:$C$26,2,FALSE),0)+IFERROR(VLOOKUP(J6,기준!$B$29:$C$32,2,FALSE),0)+IFERROR(VLOOKUP(K6,기준!$B$35:$C$42,2,FALSE),0)</f>
        <v/>
      </c>
      <c r="U6" s="8">
        <f>IFERROR(VLOOKUP(G6,기준!$B$10:$C$13,2,FALSE),0)+IFERROR(VLOOKUP(H6,기준!$B$16:$C$21,2,FALSE),0)</f>
        <v/>
      </c>
      <c r="V6" s="8">
        <f>IFERROR(VLOOKUP(L6,기준!$B$45:$C$47,2,FALSE),0)+IFERROR(VLOOKUP(M6,기준!$B$50:$C$53,2,FALSE),0)+IFERROR(VLOOKUP(N6,기준!$B$56:$C$59,2,FALSE),0)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있음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IFERROR(VLOOKUP(I7,기준!$B$24:$C$26,2,FALSE),0)+IFERROR(VLOOKUP(J7,기준!$B$29:$C$32,2,FALSE),0)+IFERROR(VLOOKUP(K7,기준!$B$35:$C$42,2,FALSE),0)</f>
        <v/>
      </c>
      <c r="U7" s="8">
        <f>IFERROR(VLOOKUP(G7,기준!$B$10:$C$13,2,FALSE),0)+IFERROR(VLOOKUP(H7,기준!$B$16:$C$21,2,FALSE),0)</f>
        <v/>
      </c>
      <c r="V7" s="8">
        <f>IFERROR(VLOOKUP(L7,기준!$B$45:$C$47,2,FALSE),0)+IFERROR(VLOOKUP(M7,기준!$B$50:$C$53,2,FALSE),0)+IFERROR(VLOOKUP(N7,기준!$B$56:$C$59,2,FALSE),0)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시험공개·IFOS 완제품 인증(certifications.nutrasource.ca NRDN0097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소형어</t>
        </is>
      </c>
      <c r="I8" s="7" t="inlineStr">
        <is>
          <t>있음</t>
        </is>
      </c>
      <c r="J8" s="7" t="inlineStr">
        <is>
          <t>보통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명시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IFERROR(VLOOKUP(I8,기준!$B$24:$C$26,2,FALSE),0)+IFERROR(VLOOKUP(J8,기준!$B$29:$C$32,2,FALSE),0)+IFERROR(VLOOKUP(K8,기준!$B$35:$C$42,2,FALSE),0)</f>
        <v/>
      </c>
      <c r="U8" s="8">
        <f>IFERROR(VLOOKUP(G8,기준!$B$10:$C$13,2,FALSE),0)+IFERROR(VLOOKUP(H8,기준!$B$16:$C$21,2,FALSE),0)</f>
        <v/>
      </c>
      <c r="V8" s="8">
        <f>IFERROR(VLOOKUP(L8,기준!$B$45:$C$47,2,FALSE),0)+IFERROR(VLOOKUP(M8,기준!$B$50:$C$53,2,FALSE),0)+IFERROR(VLOOKUP(N8,기준!$B$56:$C$59,2,FALSE),0)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라벨만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88PET 88OMEGAGUARD 씹어먹는 정제타입(츄) 60정 강아지·고양이 공용·노르웨이 Epax 정제어유(먹이사슬 최하단 청어=소형어)·DHA+EPA+토코페롤(항산화 있음)·흰 불투명병(포장 보통)·ELT사이언스 국내제조(원료사 명시)·VGMP/수의사추천/휴먼그레이드(IFOS·GOED 아님→인증 미상)·per정 EPA+DHA mg·순도·형태(rTG/TG) 미표기 (88PET 상세이미지 비전확인 20260620)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IFERROR(VLOOKUP(I9,기준!$B$24:$C$26,2,FALSE),0)+IFERROR(VLOOKUP(J9,기준!$B$29:$C$32,2,FALSE),0)+IFERROR(VLOOKUP(K9,기준!$B$35:$C$42,2,FALSE),0)</f>
        <v/>
      </c>
      <c r="U9" s="8">
        <f>IFERROR(VLOOKUP(G9,기준!$B$10:$C$13,2,FALSE),0)+IFERROR(VLOOKUP(H9,기준!$B$16:$C$21,2,FALSE),0)</f>
        <v/>
      </c>
      <c r="V9" s="8">
        <f>IFERROR(VLOOKUP(L9,기준!$B$45:$C$47,2,FALSE),0)+IFERROR(VLOOKUP(M9,기준!$B$50:$C$53,2,FALSE),0)+IFERROR(VLOOKUP(N9,기준!$B$56:$C$59,2,FALSE),0)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미상·국내 판매처 없음(2026-06 확인)·단종 추정으로 추가 수집 불가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펫·액상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일반어</t>
        </is>
      </c>
      <c r="I10" s="7" t="inlineStr">
        <is>
          <t>있음</t>
        </is>
      </c>
      <c r="J10" s="7" t="inlineStr">
        <is>
          <t>미상</t>
        </is>
      </c>
      <c r="K10" s="7" t="inlineStr">
        <is>
          <t>펌프액상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일부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IFERROR(VLOOKUP(I10,기준!$B$24:$C$26,2,FALSE),0)+IFERROR(VLOOKUP(J10,기준!$B$29:$C$32,2,FALSE),0)+IFERROR(VLOOKUP(K10,기준!$B$35:$C$42,2,FALSE),0)</f>
        <v/>
      </c>
      <c r="U10" s="8">
        <f>IFERROR(VLOOKUP(G10,기준!$B$10:$C$13,2,FALSE),0)+IFERROR(VLOOKUP(H10,기준!$B$16:$C$21,2,FALSE),0)</f>
        <v/>
      </c>
      <c r="V10" s="8">
        <f>IFERROR(VLOOKUP(L10,기준!$B$45:$C$47,2,FALSE),0)+IFERROR(VLOOKUP(M10,기준!$B$50:$C$53,2,FALSE),0)+IFERROR(VLOOKUP(N10,기준!$B$56:$C$59,2,FALSE),0)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라벨만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아베텍 오메가3벳 125ml 액상·남태평양/남극해 청정해역 바다생선(고함량 DHA·EPA·동물성)·고순도 정제(수직계열화)·천연항산화제·원산지 region만 명시(원료사 일부)·EPA+DHA mg·순도·형태(rTG/TG) 공식사이트도 미공개 (공식 a-vetech.com/94?idx=165·easypet 확인 20260620)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펫·캡슐</t>
        </is>
      </c>
      <c r="D11" s="7" t="n">
        <v>40</v>
      </c>
      <c r="E11" s="7" t="n">
        <v>80</v>
      </c>
      <c r="F11" s="7" t="inlineStr">
        <is>
          <t>명시</t>
        </is>
      </c>
      <c r="G11" s="7" t="inlineStr">
        <is>
          <t>rTG</t>
        </is>
      </c>
      <c r="H11" s="7" t="inlineStr">
        <is>
          <t>소형어</t>
        </is>
      </c>
      <c r="I11" s="7" t="inlineStr">
        <is>
          <t>있음</t>
        </is>
      </c>
      <c r="J11" s="7" t="inlineStr">
        <is>
          <t>보통</t>
        </is>
      </c>
      <c r="K11" s="7" t="inlineStr">
        <is>
          <t>캡슐</t>
        </is>
      </c>
      <c r="L11" s="7" t="inlineStr">
        <is>
          <t>있음</t>
        </is>
      </c>
      <c r="M11" s="7" t="inlineStr">
        <is>
          <t>미상</t>
        </is>
      </c>
      <c r="N11" s="7" t="inlineStr">
        <is>
          <t>명시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IFERROR(VLOOKUP(I11,기준!$B$24:$C$26,2,FALSE),0)+IFERROR(VLOOKUP(J11,기준!$B$29:$C$32,2,FALSE),0)+IFERROR(VLOOKUP(K11,기준!$B$35:$C$42,2,FALSE),0)</f>
        <v/>
      </c>
      <c r="U11" s="8">
        <f>IFERROR(VLOOKUP(G11,기준!$B$10:$C$13,2,FALSE),0)+IFERROR(VLOOKUP(H11,기준!$B$16:$C$21,2,FALSE),0)</f>
        <v/>
      </c>
      <c r="V11" s="8">
        <f>IFERROR(VLOOKUP(L11,기준!$B$45:$C$47,2,FALSE),0)+IFERROR(VLOOKUP(M11,기준!$B$50:$C$53,2,FALSE),0)+IFERROR(VLOOKUP(N11,기준!$B$56:$C$59,2,FALSE),0)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라벨만</t>
        </is>
      </c>
      <c r="AB11" s="7" t="inlineStr">
        <is>
          <t>일반유지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페스룸 TINY 오메가3 50mg(소형견·고양이 추천 SKU)·1캡슐 50mg 중 EPA+DHA 40mg·순도80%·3세대 rTG·멸치/청어 소형어·비타민E 0.13mg·통포장·KD Pharma(독일) 원료·IFOS5★+GOED 인증원료·150캡슐(0.5cm)·100mg형은 EPA48+DHA32=80mg/블리스터개별 (pethroom product_no=702 자동수집+비전 20260620)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펫·캡슐</t>
        </is>
      </c>
      <c r="D12" s="7" t="n">
        <v>80</v>
      </c>
      <c r="E12" s="7" t="n">
        <v>80</v>
      </c>
      <c r="F12" s="7" t="inlineStr">
        <is>
          <t>명시</t>
        </is>
      </c>
      <c r="G12" s="7" t="inlineStr">
        <is>
          <t>rTG</t>
        </is>
      </c>
      <c r="H12" s="7" t="inlineStr">
        <is>
          <t>소형어</t>
        </is>
      </c>
      <c r="I12" s="7" t="inlineStr">
        <is>
          <t>있음</t>
        </is>
      </c>
      <c r="J12" s="7" t="inlineStr">
        <is>
          <t>우수</t>
        </is>
      </c>
      <c r="K12" s="7" t="inlineStr">
        <is>
          <t>캡슐</t>
        </is>
      </c>
      <c r="L12" s="7" t="inlineStr">
        <is>
          <t>있음</t>
        </is>
      </c>
      <c r="M12" s="7" t="inlineStr">
        <is>
          <t>공개</t>
        </is>
      </c>
      <c r="N12" s="7" t="inlineStr">
        <is>
          <t>명시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IFERROR(VLOOKUP(I12,기준!$B$24:$C$26,2,FALSE),0)+IFERROR(VLOOKUP(J12,기준!$B$29:$C$32,2,FALSE),0)+IFERROR(VLOOKUP(K12,기준!$B$35:$C$42,2,FALSE),0)</f>
        <v/>
      </c>
      <c r="U12" s="8">
        <f>IFERROR(VLOOKUP(G12,기준!$B$10:$C$13,2,FALSE),0)+IFERROR(VLOOKUP(H12,기준!$B$16:$C$21,2,FALSE),0)</f>
        <v/>
      </c>
      <c r="V12" s="8">
        <f>IFERROR(VLOOKUP(L12,기준!$B$45:$C$47,2,FALSE),0)+IFERROR(VLOOKUP(M12,기준!$B$50:$C$53,2,FALSE),0)+IFERROR(VLOOKUP(N12,기준!$B$56:$C$59,2,FALSE),0)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공개·검증</t>
        </is>
      </c>
      <c r="AB12" s="7" t="inlineStr">
        <is>
          <t>일반유지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룰루키친 룰루파마 오메가3 100mg(3oval) SKU·1캡슐 내용물 100mg 중 EPA48+DHA32=80mg·순도80%·KD-PUR 480320 rTG(원료 EPA480/DHA320 mg/g)·소형 어종·d-토코페롤·PVDC 개별포장·IFOS5★+HACCP/ISO·Peroxide 1.63 실측(DeKrA COA공개)·코스맥스펫 국내제조(KD Pharma 원료)·250mg(6oval)형은 EPA120+DHA80=200mg (wooof 24245 자동수집+비전 20260620)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펫·캡슐</t>
        </is>
      </c>
      <c r="D13" s="7" t="n">
        <v>200</v>
      </c>
      <c r="E13" s="7" t="n">
        <v>80</v>
      </c>
      <c r="F13" s="7" t="inlineStr">
        <is>
          <t>일부</t>
        </is>
      </c>
      <c r="G13" s="7" t="inlineStr">
        <is>
          <t>rTG</t>
        </is>
      </c>
      <c r="H13" s="7" t="inlineStr">
        <is>
          <t>소형어</t>
        </is>
      </c>
      <c r="I13" s="7" t="inlineStr">
        <is>
          <t>있음</t>
        </is>
      </c>
      <c r="J13" s="7" t="inlineStr">
        <is>
          <t>우수</t>
        </is>
      </c>
      <c r="K13" s="7" t="inlineStr">
        <is>
          <t>캡슐</t>
        </is>
      </c>
      <c r="L13" s="7" t="inlineStr">
        <is>
          <t>있음</t>
        </is>
      </c>
      <c r="M13" s="7" t="inlineStr">
        <is>
          <t>공개</t>
        </is>
      </c>
      <c r="N13" s="7" t="inlineStr">
        <is>
          <t>명시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IFERROR(VLOOKUP(I13,기준!$B$24:$C$26,2,FALSE),0)+IFERROR(VLOOKUP(J13,기준!$B$29:$C$32,2,FALSE),0)+IFERROR(VLOOKUP(K13,기준!$B$35:$C$42,2,FALSE),0)</f>
        <v/>
      </c>
      <c r="U13" s="8">
        <f>IFERROR(VLOOKUP(G13,기준!$B$10:$C$13,2,FALSE),0)+IFERROR(VLOOKUP(H13,기준!$B$16:$C$21,2,FALSE),0)</f>
        <v/>
      </c>
      <c r="V13" s="8">
        <f>IFERROR(VLOOKUP(L13,기준!$B$45:$C$47,2,FALSE),0)+IFERROR(VLOOKUP(M13,기준!$B$50:$C$53,2,FALSE),0)+IFERROR(VLOOKUP(N13,기준!$B$56:$C$59,2,FALSE),0)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공개·검증</t>
        </is>
      </c>
      <c r="AB13" s="7" t="inlineStr">
        <is>
          <t>일반유지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씽크라이크펫 바이탈케어 알티지 오메가3 250mg 60캡슐·1캡슐 내용물 250mg 중 EPA+DHA 200mg·순도80%·KD-PUR 480320 rTG(KD Pharma 독일·#11과 동일 원료=소형어 멸치)·비타민E(항산화)·PVDC PTP 개별포장(우수)·IFOS5★·산가/과산화물가/아니시딘가/TOTOX/중금속 실측 공개(COA공개)·약1.3cm 소형캡슐·실제중량 15g (lifet P01106 자동수집+비전 20260620)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>
        <v>560</v>
      </c>
      <c r="E14" s="7" t="n"/>
      <c r="F14" s="7" t="inlineStr">
        <is>
          <t>일부</t>
        </is>
      </c>
      <c r="G14" s="7" t="inlineStr">
        <is>
          <t>rTG</t>
        </is>
      </c>
      <c r="H14" s="7" t="inlineStr">
        <is>
          <t>미상</t>
        </is>
      </c>
      <c r="I14" s="7" t="inlineStr">
        <is>
          <t>있음</t>
        </is>
      </c>
      <c r="J14" s="7" t="inlineStr">
        <is>
          <t>우수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IFERROR(VLOOKUP(I14,기준!$B$24:$C$26,2,FALSE),0)+IFERROR(VLOOKUP(J14,기준!$B$29:$C$32,2,FALSE),0)+IFERROR(VLOOKUP(K14,기준!$B$35:$C$42,2,FALSE),0)</f>
        <v/>
      </c>
      <c r="U14" s="8">
        <f>IFERROR(VLOOKUP(G14,기준!$B$10:$C$13,2,FALSE),0)+IFERROR(VLOOKUP(H14,기준!$B$16:$C$21,2,FALSE),0)</f>
        <v/>
      </c>
      <c r="V14" s="8">
        <f>IFERROR(VLOOKUP(L14,기준!$B$45:$C$47,2,FALSE),0)+IFERROR(VLOOKUP(M14,기준!$B$50:$C$53,2,FALSE),0)+IFERROR(VLOOKUP(N14,기준!$B$56:$C$59,2,FALSE),0)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EPA+DHA 560mg/스틱(라벨 명시·고함량)·rTG·정제어유(어종 미표기)·천연토코페롤(항산화)·멸균 레토르트 개별스틱 공기차단포장·원료 정제수/타피오카전분/치커리/정제어유/가쓰오엑기스 (equalpet.store/product/50 자동수집+비전확인 20260620)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IFERROR(VLOOKUP(I15,기준!$B$24:$C$26,2,FALSE),0)+IFERROR(VLOOKUP(J15,기준!$B$29:$C$32,2,FALSE),0)+IFERROR(VLOOKUP(K15,기준!$B$35:$C$42,2,FALSE),0)</f>
        <v/>
      </c>
      <c r="U15" s="8">
        <f>IFERROR(VLOOKUP(G15,기준!$B$10:$C$13,2,FALSE),0)+IFERROR(VLOOKUP(H15,기준!$B$16:$C$21,2,FALSE),0)</f>
        <v/>
      </c>
      <c r="V15" s="8">
        <f>IFERROR(VLOOKUP(L15,기준!$B$45:$C$47,2,FALSE),0)+IFERROR(VLOOKUP(M15,기준!$B$50:$C$53,2,FALSE),0)+IFERROR(VLOOKUP(N15,기준!$B$56:$C$59,2,FALSE),0)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>
        <v>128</v>
      </c>
      <c r="E16" s="7" t="n">
        <v>80</v>
      </c>
      <c r="F16" s="7" t="inlineStr">
        <is>
          <t>일부</t>
        </is>
      </c>
      <c r="G16" s="7" t="inlineStr">
        <is>
          <t>rTG</t>
        </is>
      </c>
      <c r="H16" s="7" t="inlineStr">
        <is>
          <t>소형어</t>
        </is>
      </c>
      <c r="I16" s="7" t="inlineStr">
        <is>
          <t>있음</t>
        </is>
      </c>
      <c r="J16" s="7" t="inlineStr">
        <is>
          <t>우수</t>
        </is>
      </c>
      <c r="K16" s="7" t="inlineStr">
        <is>
          <t>캡슐</t>
        </is>
      </c>
      <c r="L16" s="7" t="inlineStr">
        <is>
          <t>있음</t>
        </is>
      </c>
      <c r="M16" s="7" t="inlineStr">
        <is>
          <t>공개</t>
        </is>
      </c>
      <c r="N16" s="7" t="inlineStr">
        <is>
          <t>명시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IFERROR(VLOOKUP(I16,기준!$B$24:$C$26,2,FALSE),0)+IFERROR(VLOOKUP(J16,기준!$B$29:$C$32,2,FALSE),0)+IFERROR(VLOOKUP(K16,기준!$B$35:$C$42,2,FALSE),0)</f>
        <v/>
      </c>
      <c r="U16" s="8">
        <f>IFERROR(VLOOKUP(G16,기준!$B$10:$C$13,2,FALSE),0)+IFERROR(VLOOKUP(H16,기준!$B$16:$C$21,2,FALSE),0)</f>
        <v/>
      </c>
      <c r="V16" s="8">
        <f>IFERROR(VLOOKUP(L16,기준!$B$45:$C$47,2,FALSE),0)+IFERROR(VLOOKUP(M16,기준!$B$50:$C$53,2,FALSE),0)+IFERROR(VLOOKUP(N16,기준!$B$56:$C$59,2,FALSE),0)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공개·검증</t>
        </is>
      </c>
      <c r="AB16" s="7" t="inlineStr">
        <is>
          <t>일반유지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데일리케얼 슈퍼리얼 알티지(180캡슐 SKU 기준)·1캡슐 EPA+DHA 128mg·순도80%이상·Real rTG·정제어유 소형어·d-토코페롤(비타민E)·PTP개별포장 산패4중방어·KD파마(독일) 원료+완제품 IFOS5★·TOTOX/중금속 검사공개·연질캡슐 (fitpetmall goods/1000033651 자동수집+OCR 20260620)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>
        <v>147</v>
      </c>
      <c r="E17" s="7" t="n">
        <v>15</v>
      </c>
      <c r="F17" s="7" t="inlineStr">
        <is>
          <t>명시</t>
        </is>
      </c>
      <c r="G17" s="7" t="inlineStr">
        <is>
          <t>TG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공개</t>
        </is>
      </c>
      <c r="N17" s="7" t="inlineStr">
        <is>
          <t>명시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IFERROR(VLOOKUP(I17,기준!$B$24:$C$26,2,FALSE),0)+IFERROR(VLOOKUP(J17,기준!$B$29:$C$32,2,FALSE),0)+IFERROR(VLOOKUP(K17,기준!$B$35:$C$42,2,FALSE),0)</f>
        <v/>
      </c>
      <c r="U17" s="8">
        <f>IFERROR(VLOOKUP(G17,기준!$B$10:$C$13,2,FALSE),0)+IFERROR(VLOOKUP(H17,기준!$B$16:$C$21,2,FALSE),0)</f>
        <v/>
      </c>
      <c r="V17" s="8">
        <f>IFERROR(VLOOKUP(L17,기준!$B$45:$C$47,2,FALSE),0)+IFERROR(VLOOKUP(M17,기준!$B$50:$C$53,2,FALSE),0)+IFERROR(VLOOKUP(N17,기준!$B$56:$C$59,2,FALSE),0)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공개·검증</t>
        </is>
      </c>
      <c r="AB17" s="7" t="inlineStr">
        <is>
          <t>일반유지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 청어100% 아이슬란드산 자연어유(TG)·성분표 per1g Total오메가3 199mg·DHA79+EPA70=147mg·DPA10mg·VitA/D ND·순도≈15%(147/1000)·사료검정 산가0.01(COA공개)·MSC인증·1펌프≈1ml·250ml (kaikoora.com/product/13 자동수집+비전확인 20260620)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>
        <v>84</v>
      </c>
      <c r="E18" s="7" t="n"/>
      <c r="F18" s="7" t="inlineStr">
        <is>
          <t>일부</t>
        </is>
      </c>
      <c r="G18" s="7" t="inlineStr">
        <is>
          <t>TG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일부</t>
        </is>
      </c>
      <c r="N18" s="7" t="inlineStr">
        <is>
          <t>명시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IFERROR(VLOOKUP(I18,기준!$B$24:$C$26,2,FALSE),0)+IFERROR(VLOOKUP(J18,기준!$B$29:$C$32,2,FALSE),0)+IFERROR(VLOOKUP(K18,기준!$B$35:$C$42,2,FALSE),0)</f>
        <v/>
      </c>
      <c r="U18" s="8">
        <f>IFERROR(VLOOKUP(G18,기준!$B$10:$C$13,2,FALSE),0)+IFERROR(VLOOKUP(H18,기준!$B$16:$C$21,2,FALSE),0)</f>
        <v/>
      </c>
      <c r="V18" s="8">
        <f>IFERROR(VLOOKUP(L18,기준!$B$45:$C$47,2,FALSE),0)+IFERROR(VLOOKUP(M18,기준!$B$50:$C$53,2,FALSE),0)+IFERROR(VLOOKUP(N18,기준!$B$56:$C$59,2,FALSE),0)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일반유지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바이오펫츠 펫메가3 150ml·1ml당 EPA+DHA 64~103mg(중간값 84)·연어오일99%(원육 노르웨이)·자연 비농축(TG)·공기차단 특허용기(특허 20-0470695)·비타민 1% 첨가·산가 2.5 공개(COA 일부)·per회분 mg 미상 (fitpetmall goods/1000037912 자동수집+OCR 20260620)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>
        <v>50</v>
      </c>
      <c r="E19" s="7" t="n">
        <v>5</v>
      </c>
      <c r="F19" s="7" t="inlineStr">
        <is>
          <t>명시</t>
        </is>
      </c>
      <c r="G19" s="7" t="inlineStr">
        <is>
          <t>TG</t>
        </is>
      </c>
      <c r="H19" s="7" t="inlineStr">
        <is>
          <t>일반어</t>
        </is>
      </c>
      <c r="I19" s="7" t="inlineStr">
        <is>
          <t>있음</t>
        </is>
      </c>
      <c r="J19" s="7" t="inlineStr">
        <is>
          <t>보통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공개</t>
        </is>
      </c>
      <c r="N19" s="7" t="inlineStr">
        <is>
          <t>명시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IFERROR(VLOOKUP(I19,기준!$B$24:$C$26,2,FALSE),0)+IFERROR(VLOOKUP(J19,기준!$B$29:$C$32,2,FALSE),0)+IFERROR(VLOOKUP(K19,기준!$B$35:$C$42,2,FALSE),0)</f>
        <v/>
      </c>
      <c r="U19" s="8">
        <f>IFERROR(VLOOKUP(G19,기준!$B$10:$C$13,2,FALSE),0)+IFERROR(VLOOKUP(H19,기준!$B$16:$C$21,2,FALSE),0)</f>
        <v/>
      </c>
      <c r="V19" s="8">
        <f>IFERROR(VLOOKUP(L19,기준!$B$45:$C$47,2,FALSE),0)+IFERROR(VLOOKUP(M19,기준!$B$50:$C$53,2,FALSE),0)+IFERROR(VLOOKUP(N19,기준!$B$56:$C$59,2,FALSE),0)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공개·검증</t>
        </is>
      </c>
      <c r="AB19" s="7" t="inlineStr">
        <is>
          <t>일반유지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브릴리언트 연어오일 CoA(페오펫 300ml 동일오일)·EPA≥20+DHA≥30=≥50mg/g·DPA≥10·Total오메가3≥140mg/g·Fat≥99%(순도≈5%)·노르웨이 연어 자연유(TG)·Astaxanthin&gt;6µg/g(천연항산화)·Peroxide≤12/Anisidine≤8/중금속&lt;0.1/PCB·다이옥신 분기검사(COA공개)·차단펌프(공기차단)·Friend of the Sea (shop.peopet.co.kr/goods/36686 비전확인 20260620)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TG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펌프액상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명시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IFERROR(VLOOKUP(I20,기준!$B$24:$C$26,2,FALSE),0)+IFERROR(VLOOKUP(J20,기준!$B$29:$C$32,2,FALSE),0)+IFERROR(VLOOKUP(K20,기준!$B$35:$C$42,2,FALSE),0)</f>
        <v/>
      </c>
      <c r="U20" s="8">
        <f>IFERROR(VLOOKUP(G20,기준!$B$10:$C$13,2,FALSE),0)+IFERROR(VLOOKUP(H20,기준!$B$16:$C$21,2,FALSE),0)</f>
        <v/>
      </c>
      <c r="V20" s="8">
        <f>IFERROR(VLOOKUP(L20,기준!$B$45:$C$47,2,FALSE),0)+IFERROR(VLOOKUP(M20,기준!$B$50:$C$53,2,FALSE),0)+IFERROR(VLOOKUP(N20,기준!$B$56:$C$59,2,FALSE),0)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라벨만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Salmo Pet 노르웨이산 연어오일(NORGE 원산지 명시)·자연어유(TG)·연어 단일·5kg미만 1펌프~·DHA·EPA 함유 표기만·per펌프 EPA+DHA mg 미공개 (fitpetmall goods/1000024792 자동수집+비전 20260620)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IFERROR(VLOOKUP(I21,기준!$B$24:$C$26,2,FALSE),0)+IFERROR(VLOOKUP(J21,기준!$B$29:$C$32,2,FALSE),0)+IFERROR(VLOOKUP(K21,기준!$B$35:$C$42,2,FALSE),0)</f>
        <v/>
      </c>
      <c r="U21" s="8">
        <f>IFERROR(VLOOKUP(G21,기준!$B$10:$C$13,2,FALSE),0)+IFERROR(VLOOKUP(H21,기준!$B$16:$C$21,2,FALSE),0)</f>
        <v/>
      </c>
      <c r="V21" s="8">
        <f>IFERROR(VLOOKUP(L21,기준!$B$45:$C$47,2,FALSE),0)+IFERROR(VLOOKUP(M21,기준!$B$50:$C$53,2,FALSE),0)+IFERROR(VLOOKUP(N21,기준!$B$56:$C$59,2,FALSE),0)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부적용·국내 판매처 없음(2026-06 확인)·단종 추정으로 추가 수집 불가 (구 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펫·액상</t>
        </is>
      </c>
      <c r="D22" s="7" t="n"/>
      <c r="E22" s="7" t="n"/>
      <c r="F22" s="7" t="inlineStr">
        <is>
          <t>미상</t>
        </is>
      </c>
      <c r="G22" s="7" t="inlineStr">
        <is>
          <t>TG</t>
        </is>
      </c>
      <c r="H22" s="7" t="inlineStr">
        <is>
          <t>해양포유류</t>
        </is>
      </c>
      <c r="I22" s="7" t="inlineStr">
        <is>
          <t>미상</t>
        </is>
      </c>
      <c r="J22" s="7" t="inlineStr">
        <is>
          <t>취약</t>
        </is>
      </c>
      <c r="K22" s="7" t="inlineStr">
        <is>
          <t>펌프액상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명시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IFERROR(VLOOKUP(I22,기준!$B$24:$C$26,2,FALSE),0)+IFERROR(VLOOKUP(J22,기준!$B$29:$C$32,2,FALSE),0)+IFERROR(VLOOKUP(K22,기준!$B$35:$C$42,2,FALSE),0)</f>
        <v/>
      </c>
      <c r="U22" s="8">
        <f>IFERROR(VLOOKUP(G22,기준!$B$10:$C$13,2,FALSE),0)+IFERROR(VLOOKUP(H22,기준!$B$16:$C$21,2,FALSE),0)</f>
        <v/>
      </c>
      <c r="V22" s="8">
        <f>IFERROR(VLOOKUP(L22,기준!$B$45:$C$47,2,FALSE),0)+IFERROR(VLOOKUP(M22,기준!$B$50:$C$53,2,FALSE),0)+IFERROR(VLOOKUP(N22,기준!$B$56:$C$59,2,FALSE),0)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라벨만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오메가3 플러스펫 캐나다 물개오일 140ml+루테인·해양 포유류 오일(해양성·EPA/DHA/DPA 공급·어종=해양포유류)·자연유 TG·투명용기(포장 취약)·캐나다산(원료사 명시)·실온보관·EPA+DHA mg/순도 미공개(SSG·펫프렌즈 확인) (ssg itemId 1000534830783 20260620)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IFERROR(VLOOKUP(I23,기준!$B$24:$C$26,2,FALSE),0)+IFERROR(VLOOKUP(J23,기준!$B$29:$C$32,2,FALSE),0)+IFERROR(VLOOKUP(K23,기준!$B$35:$C$42,2,FALSE),0)</f>
        <v/>
      </c>
      <c r="U23" s="8">
        <f>IFERROR(VLOOKUP(G23,기준!$B$10:$C$13,2,FALSE),0)+IFERROR(VLOOKUP(H23,기준!$B$16:$C$21,2,FALSE),0)</f>
        <v/>
      </c>
      <c r="V23" s="8">
        <f>IFERROR(VLOOKUP(L23,기준!$B$45:$C$47,2,FALSE),0)+IFERROR(VLOOKUP(M23,기준!$B$50:$C$53,2,FALSE),0)+IFERROR(VLOOKUP(N23,기준!$B$56:$C$59,2,FALSE),0)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하이퍼셀 식물성 알티지 오메가3(사람용)</t>
        </is>
      </c>
      <c r="C24" s="6" t="inlineStr">
        <is>
          <t>사람용·식물성</t>
        </is>
      </c>
      <c r="D24" s="7" t="n">
        <v>900</v>
      </c>
      <c r="E24" s="7" t="n">
        <v>67</v>
      </c>
      <c r="F24" s="7" t="inlineStr">
        <is>
          <t>일부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우수</t>
        </is>
      </c>
      <c r="K24" s="7" t="inlineStr">
        <is>
          <t>캡슐</t>
        </is>
      </c>
      <c r="L24" s="7" t="inlineStr">
        <is>
          <t>있음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IFERROR(VLOOKUP(I24,기준!$B$24:$C$26,2,FALSE),0)+IFERROR(VLOOKUP(J24,기준!$B$29:$C$32,2,FALSE),0)+IFERROR(VLOOKUP(K24,기준!$B$35:$C$42,2,FALSE),0)</f>
        <v/>
      </c>
      <c r="U24" s="8">
        <f>IFERROR(VLOOKUP(G24,기준!$B$10:$C$13,2,FALSE),0)+IFERROR(VLOOKUP(H24,기준!$B$16:$C$21,2,FALSE),0)</f>
        <v/>
      </c>
      <c r="V24" s="8">
        <f>IFERROR(VLOOKUP(L24,기준!$B$45:$C$47,2,FALSE),0)+IFERROR(VLOOKUP(M24,기준!$B$50:$C$53,2,FALSE),0)+IFERROR(VLOOKUP(N24,기준!$B$56:$C$59,2,FALSE),0)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사람용 건기식(1일1캡슐·펫전용 SKU 없음)·1캡슐 1340mg 중 EPA+DHA 900mg(완제품 순도 67%=900/1340·'80%'는 원료 미세조류 기준)·미세조류 rTG(DHA 편중·EPA 적음)·SEDS 하이퍼셀 인지질코팅(흡수↑)·50℃ 저온초임계(헥산 NO)·GOED 인증원료·식물성캡슐(홍조류)·개별 PTP 포장·900mg은 사람 1일량이라 4kg 고양이엔 분할급여 어려움(NCS 구버전=1126mg/순도80%) (공식 상세이미지 비전 20260620)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있음</t>
        </is>
      </c>
      <c r="J25" s="7" t="inlineStr">
        <is>
          <t>취약</t>
        </is>
      </c>
      <c r="K25" s="7" t="inlineStr">
        <is>
          <t>파우더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명시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IFERROR(VLOOKUP(I25,기준!$B$24:$C$26,2,FALSE),0)+IFERROR(VLOOKUP(J25,기준!$B$29:$C$32,2,FALSE),0)+IFERROR(VLOOKUP(K25,기준!$B$35:$C$42,2,FALSE),0)</f>
        <v/>
      </c>
      <c r="U25" s="8">
        <f>IFERROR(VLOOKUP(G25,기준!$B$10:$C$13,2,FALSE),0)+IFERROR(VLOOKUP(H25,기준!$B$16:$C$21,2,FALSE),0)</f>
        <v/>
      </c>
      <c r="V25" s="8">
        <f>IFERROR(VLOOKUP(L25,기준!$B$45:$C$47,2,FALSE),0)+IFERROR(VLOOKUP(M25,기준!$B$50:$C$53,2,FALSE),0)+IFERROR(VLOOKUP(N25,기준!$B$56:$C$59,2,FALSE),0)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라벨만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클리닉스 MEGA-3A 미세파우더(가루) 80g·제형 파우더(4점)·큰 뚜껑 통이라 밀폐·보관 취약·생선오일분말(어종 미표기)·EPA/DHA/ALA 함유하나 per회분 mg·순도 미공개(한 스푼≈제품 700mg)·항산화 비타민E+천연알파토코페롤+로즈마리추출물·제조원 대성물산(원료사 명시)·24개월 산패안정성 표방(실측 미공개)·성분등록 제55VVW0022 (petemart 2124 자동수집+비전 20260620)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>
        <v>119</v>
      </c>
      <c r="E26" s="7" t="n">
        <v>79</v>
      </c>
      <c r="F26" s="7" t="inlineStr">
        <is>
          <t>일부</t>
        </is>
      </c>
      <c r="G26" s="7" t="inlineStr">
        <is>
          <t>rTG</t>
        </is>
      </c>
      <c r="H26" s="7" t="inlineStr">
        <is>
          <t>소형어</t>
        </is>
      </c>
      <c r="I26" s="7" t="inlineStr">
        <is>
          <t>있음</t>
        </is>
      </c>
      <c r="J26" s="7" t="inlineStr">
        <is>
          <t>우수</t>
        </is>
      </c>
      <c r="K26" s="7" t="inlineStr">
        <is>
          <t>소프트젤</t>
        </is>
      </c>
      <c r="L26" s="7" t="inlineStr">
        <is>
          <t>있음</t>
        </is>
      </c>
      <c r="M26" s="7" t="inlineStr">
        <is>
          <t>미상</t>
        </is>
      </c>
      <c r="N26" s="7" t="inlineStr">
        <is>
          <t>명시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IFERROR(VLOOKUP(I26,기준!$B$24:$C$26,2,FALSE),0)+IFERROR(VLOOKUP(J26,기준!$B$29:$C$32,2,FALSE),0)+IFERROR(VLOOKUP(K26,기준!$B$35:$C$42,2,FALSE),0)</f>
        <v/>
      </c>
      <c r="U26" s="8">
        <f>IFERROR(VLOOKUP(G26,기준!$B$10:$C$13,2,FALSE),0)+IFERROR(VLOOKUP(H26,기준!$B$16:$C$21,2,FALSE),0)</f>
        <v/>
      </c>
      <c r="V26" s="8">
        <f>IFERROR(VLOOKUP(L26,기준!$B$45:$C$47,2,FALSE),0)+IFERROR(VLOOKUP(M26,기준!$B$50:$C$53,2,FALSE),0)+IFERROR(VLOOKUP(N26,기준!$B$56:$C$59,2,FALSE),0)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라벨만</t>
        </is>
      </c>
      <c r="AB26" s="7" t="inlineStr">
        <is>
          <t>일반유지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베네핏 오메가3플러스(수의사처방전용)·2캡슐(150mg×2)당 DHA+EPA 238mg→1캡슐 119mg·순도 238/300=79%(고순도)·독일 KD Pharma rTG·kd-pür 저온초임계(산패 최소화)·소형 어종(중금속 최소화)·IFOS 5 Star 원료·비타민E 1.4mg α-TE·블리스터 개별포장·연질캡슐·480정·실측 COA 수치는 미표기 (제조 ET022402 상세이미지 비전 20260620)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공개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IFERROR(VLOOKUP(I27,기준!$B$24:$C$26,2,FALSE),0)+IFERROR(VLOOKUP(J27,기준!$B$29:$C$32,2,FALSE),0)+IFERROR(VLOOKUP(K27,기준!$B$35:$C$42,2,FALSE),0)</f>
        <v/>
      </c>
      <c r="U27" s="8">
        <f>IFERROR(VLOOKUP(G27,기준!$B$10:$C$13,2,FALSE),0)+IFERROR(VLOOKUP(H27,기준!$B$16:$C$21,2,FALSE),0)</f>
        <v/>
      </c>
      <c r="V27" s="8">
        <f>IFERROR(VLOOKUP(L27,기준!$B$45:$C$47,2,FALSE),0)+IFERROR(VLOOKUP(M27,기준!$B$50:$C$53,2,FALSE),0)+IFERROR(VLOOKUP(N27,기준!$B$56:$C$59,2,FALSE),0)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937/캡슐(라벨 EPA687+DHA250)·IFOS 5★ 완제품 lot UC180494 실측 EPA704+DHA271·TOTOX/과산화물/아니시딘/중금속(수은·납)/PCB/다이옥신 전부 합격(COA 공개)·AlaskaOmega·순도~75%·병포장 (IFOS certifications.nutrasource.ca)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IFERROR(VLOOKUP(I28,기준!$B$24:$C$26,2,FALSE),0)+IFERROR(VLOOKUP(J28,기준!$B$29:$C$32,2,FALSE),0)+IFERROR(VLOOKUP(K28,기준!$B$35:$C$42,2,FALSE),0)</f>
        <v/>
      </c>
      <c r="U28" s="8">
        <f>IFERROR(VLOOKUP(G28,기준!$B$10:$C$13,2,FALSE),0)+IFERROR(VLOOKUP(H28,기준!$B$16:$C$21,2,FALSE),0)</f>
        <v/>
      </c>
      <c r="V28" s="8">
        <f>IFERROR(VLOOKUP(L28,기준!$B$45:$C$47,2,FALSE),0)+IFERROR(VLOOKUP(M28,기준!$B$50:$C$53,2,FALSE),0)+IFERROR(VLOOKUP(N28,기준!$B$56:$C$59,2,FALSE),0)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IFERROR(VLOOKUP(I29,기준!$B$24:$C$26,2,FALSE),0)+IFERROR(VLOOKUP(J29,기준!$B$29:$C$32,2,FALSE),0)+IFERROR(VLOOKUP(K29,기준!$B$35:$C$42,2,FALSE),0)</f>
        <v/>
      </c>
      <c r="U29" s="8">
        <f>IFERROR(VLOOKUP(G29,기준!$B$10:$C$13,2,FALSE),0)+IFERROR(VLOOKUP(H29,기준!$B$16:$C$21,2,FALSE),0)</f>
        <v/>
      </c>
      <c r="V29" s="8">
        <f>IFERROR(VLOOKUP(L29,기준!$B$45:$C$47,2,FALSE),0)+IFERROR(VLOOKUP(M29,기준!$B$50:$C$53,2,FALSE),0)+IFERROR(VLOOKUP(N29,기준!$B$56:$C$59,2,FALSE),0)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IFERROR(VLOOKUP(I30,기준!$B$24:$C$26,2,FALSE),0)+IFERROR(VLOOKUP(J30,기준!$B$29:$C$32,2,FALSE),0)+IFERROR(VLOOKUP(K30,기준!$B$35:$C$42,2,FALSE),0)</f>
        <v/>
      </c>
      <c r="U30" s="8">
        <f>IFERROR(VLOOKUP(G30,기준!$B$10:$C$13,2,FALSE),0)+IFERROR(VLOOKUP(H30,기준!$B$16:$C$21,2,FALSE),0)</f>
        <v/>
      </c>
      <c r="V30" s="8">
        <f>IFERROR(VLOOKUP(L30,기준!$B$45:$C$47,2,FALSE),0)+IFERROR(VLOOKUP(M30,기준!$B$50:$C$53,2,FALSE),0)+IFERROR(VLOOKUP(N30,기준!$B$56:$C$59,2,FALSE),0)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IFERROR(VLOOKUP(I31,기준!$B$24:$C$26,2,FALSE),0)+IFERROR(VLOOKUP(J31,기준!$B$29:$C$32,2,FALSE),0)+IFERROR(VLOOKUP(K31,기준!$B$35:$C$42,2,FALSE),0)</f>
        <v/>
      </c>
      <c r="U31" s="8">
        <f>IFERROR(VLOOKUP(G31,기준!$B$10:$C$13,2,FALSE),0)+IFERROR(VLOOKUP(H31,기준!$B$16:$C$21,2,FALSE),0)</f>
        <v/>
      </c>
      <c r="V31" s="8">
        <f>IFERROR(VLOOKUP(L31,기준!$B$45:$C$47,2,FALSE),0)+IFERROR(VLOOKUP(M31,기준!$B$50:$C$53,2,FALSE),0)+IFERROR(VLOOKUP(N31,기준!$B$56:$C$59,2,FALSE),0)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IFERROR(VLOOKUP(I32,기준!$B$24:$C$26,2,FALSE),0)+IFERROR(VLOOKUP(J32,기준!$B$29:$C$32,2,FALSE),0)+IFERROR(VLOOKUP(K32,기준!$B$35:$C$42,2,FALSE),0)</f>
        <v/>
      </c>
      <c r="U32" s="8">
        <f>IFERROR(VLOOKUP(G32,기준!$B$10:$C$13,2,FALSE),0)+IFERROR(VLOOKUP(H32,기준!$B$16:$C$21,2,FALSE),0)</f>
        <v/>
      </c>
      <c r="V32" s="8">
        <f>IFERROR(VLOOKUP(L32,기준!$B$45:$C$47,2,FALSE),0)+IFERROR(VLOOKUP(M32,기준!$B$50:$C$53,2,FALSE),0)+IFERROR(VLOOKUP(N32,기준!$B$56:$C$59,2,FALSE),0)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IFERROR(VLOOKUP(I33,기준!$B$24:$C$26,2,FALSE),0)+IFERROR(VLOOKUP(J33,기준!$B$29:$C$32,2,FALSE),0)+IFERROR(VLOOKUP(K33,기준!$B$35:$C$42,2,FALSE),0)</f>
        <v/>
      </c>
      <c r="U33" s="8">
        <f>IFERROR(VLOOKUP(G33,기준!$B$10:$C$13,2,FALSE),0)+IFERROR(VLOOKUP(H33,기준!$B$16:$C$21,2,FALSE),0)</f>
        <v/>
      </c>
      <c r="V33" s="8">
        <f>IFERROR(VLOOKUP(L33,기준!$B$45:$C$47,2,FALSE),0)+IFERROR(VLOOKUP(M33,기준!$B$50:$C$53,2,FALSE),0)+IFERROR(VLOOKUP(N33,기준!$B$56:$C$59,2,FALSE),0)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IFERROR(VLOOKUP(I34,기준!$B$24:$C$26,2,FALSE),0)+IFERROR(VLOOKUP(J34,기준!$B$29:$C$32,2,FALSE),0)+IFERROR(VLOOKUP(K34,기준!$B$35:$C$42,2,FALSE),0)</f>
        <v/>
      </c>
      <c r="U34" s="8">
        <f>IFERROR(VLOOKUP(G34,기준!$B$10:$C$13,2,FALSE),0)+IFERROR(VLOOKUP(H34,기준!$B$16:$C$21,2,FALSE),0)</f>
        <v/>
      </c>
      <c r="V34" s="8">
        <f>IFERROR(VLOOKUP(L34,기준!$B$45:$C$47,2,FALSE),0)+IFERROR(VLOOKUP(M34,기준!$B$50:$C$53,2,FALSE),0)+IFERROR(VLOOKUP(N34,기준!$B$56:$C$59,2,FALSE),0)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2026-06-21T09:30:56Z</dcterms:created>
  <dcterms:modified xmlns:dcterms="http://purl.org/dc/terms/" xmlns:xsi="http://www.w3.org/2001/XMLSchema-instance" xsi:type="dcterms:W3CDTF">2026-06-21T09:30:56Z</dcterms:modified>
</cp:coreProperties>
</file>